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oceaneering-my.sharepoint.com/personal/rcosta1_oceaneering_com1/Documents/Pasta Principal/"/>
    </mc:Choice>
  </mc:AlternateContent>
  <xr:revisionPtr revIDLastSave="249" documentId="8_{5E92C89D-860A-4E47-9C09-6C5E45A0A711}" xr6:coauthVersionLast="47" xr6:coauthVersionMax="47" xr10:uidLastSave="{D2322A45-C876-4CB1-963D-8F9BF4BA01BD}"/>
  <bookViews>
    <workbookView xWindow="-28920" yWindow="-120" windowWidth="29040" windowHeight="15720" firstSheet="2" activeTab="5" xr2:uid="{00000000-000D-0000-FFFF-FFFF00000000}"/>
  </bookViews>
  <sheets>
    <sheet name="Scope" sheetId="7" state="hidden" r:id="rId1"/>
    <sheet name="Risk Register (Generic)" sheetId="1" state="hidden" r:id="rId2"/>
    <sheet name="Cover" sheetId="20" r:id="rId3"/>
    <sheet name="Revisions" sheetId="21" r:id="rId4"/>
    <sheet name="AI Risk Subcats" sheetId="22" r:id="rId5"/>
    <sheet name="Risk Register" sheetId="11" r:id="rId6"/>
    <sheet name="RAM for Threats" sheetId="19" r:id="rId7"/>
    <sheet name="RAM for Opportunities" sheetId="15" r:id="rId8"/>
    <sheet name="Communication Matrix" sheetId="8" state="hidden" r:id="rId9"/>
  </sheets>
  <definedNames>
    <definedName name="_xlnm._FilterDatabase" localSheetId="5" hidden="1">'Risk Register'!$A$4:$Y$51</definedName>
    <definedName name="_Toc442428453" localSheetId="3">Revisions!$A$1</definedName>
    <definedName name="_Toc442428454" localSheetId="3">Revisions!$A$4</definedName>
    <definedName name="_Toc442428455" localSheetId="3">Revisions!$A$11</definedName>
    <definedName name="Gate_3_Number">#REF!</definedName>
    <definedName name="Gate_4_Number">#REF!</definedName>
    <definedName name="Gate_5_Number">#REF!</definedName>
    <definedName name="lstAIRiskSubcats">AIRiskSubcats[Name]</definedName>
    <definedName name="lstAISubcats">AIRiskSubcats[Name]</definedName>
    <definedName name="_xlnm.Print_Area" localSheetId="7">'RAM for Opportunities'!$B$2:$I$23</definedName>
    <definedName name="_xlnm.Print_Area" localSheetId="6">'RAM for Threats'!$B$2:$M$25</definedName>
    <definedName name="_xlnm.Print_Area" localSheetId="5">'Risk Register'!$A$1:$T$51</definedName>
    <definedName name="_xlnm.Print_Area" localSheetId="1">'Risk Register (Generic)'!$A$1:$O$49</definedName>
    <definedName name="_xlnm.Print_Titles" localSheetId="5">'Risk Register'!$2:$4</definedName>
    <definedName name="_xlnm.Print_Titles" localSheetId="1">'Risk Register (Generic)'!$5:$6</definedName>
    <definedName name="Project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1" i="11" l="1"/>
  <c r="P51" i="11"/>
  <c r="I51" i="11"/>
  <c r="G51" i="11"/>
  <c r="J6" i="11"/>
  <c r="R5"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5" i="11"/>
  <c r="J51" i="11" l="1"/>
  <c r="R39" i="11" a="1"/>
  <c r="R39" i="11" s="1"/>
  <c r="R43" i="11" a="1"/>
  <c r="R43" i="11" s="1"/>
  <c r="R42" i="11" a="1"/>
  <c r="R42" i="11" s="1"/>
  <c r="R41" i="11" a="1"/>
  <c r="R41" i="11" s="1"/>
  <c r="R40" i="11" a="1"/>
  <c r="R40" i="11" s="1"/>
  <c r="R38" i="11" l="1" a="1"/>
  <c r="R38" i="11" s="1"/>
  <c r="R37" i="11" a="1"/>
  <c r="R37" i="11" s="1"/>
  <c r="R49" i="11" a="1"/>
  <c r="R49" i="11" s="1"/>
  <c r="R50" i="11" a="1"/>
  <c r="R50" i="11" s="1"/>
  <c r="R9" i="11" a="1"/>
  <c r="R9" i="11" s="1"/>
  <c r="R11" i="11" l="1" a="1"/>
  <c r="R11" i="11" s="1"/>
  <c r="R20" i="11" l="1" a="1"/>
  <c r="R20" i="11" s="1"/>
  <c r="R48" i="11" a="1"/>
  <c r="R48" i="11" s="1"/>
  <c r="R6" i="11" a="1"/>
  <c r="R6" i="11" s="1"/>
  <c r="R7" i="11" a="1"/>
  <c r="R7" i="11" s="1"/>
  <c r="R8" i="11" a="1"/>
  <c r="R8" i="11" s="1"/>
  <c r="R10" i="11" a="1"/>
  <c r="R10" i="11" s="1"/>
  <c r="R12" i="11" a="1"/>
  <c r="R12" i="11" s="1"/>
  <c r="R13" i="11" a="1"/>
  <c r="R13" i="11" s="1"/>
  <c r="R14" i="11" a="1"/>
  <c r="R14" i="11" s="1"/>
  <c r="R15" i="11" a="1"/>
  <c r="R15" i="11" s="1"/>
  <c r="R16" i="11" a="1"/>
  <c r="R16" i="11" s="1"/>
  <c r="R17" i="11" a="1"/>
  <c r="R17" i="11" s="1"/>
  <c r="R18" i="11" a="1"/>
  <c r="R18" i="11" s="1"/>
  <c r="R19" i="11" a="1"/>
  <c r="R19" i="11" s="1"/>
  <c r="R21" i="11" a="1"/>
  <c r="R21" i="11" s="1"/>
  <c r="R22" i="11" a="1"/>
  <c r="R22" i="11" s="1"/>
  <c r="R23" i="11" a="1"/>
  <c r="R23" i="11" s="1"/>
  <c r="R24" i="11" a="1"/>
  <c r="R24" i="11" s="1"/>
  <c r="R25" i="11" a="1"/>
  <c r="R25" i="11" s="1"/>
  <c r="R26" i="11" a="1"/>
  <c r="R26" i="11" s="1"/>
  <c r="R27" i="11" a="1"/>
  <c r="R27" i="11" s="1"/>
  <c r="R28" i="11" a="1"/>
  <c r="R28" i="11" s="1"/>
  <c r="R29" i="11" a="1"/>
  <c r="R29" i="11" s="1"/>
  <c r="R30" i="11" a="1"/>
  <c r="R30" i="11" s="1"/>
  <c r="R31" i="11" a="1"/>
  <c r="R31" i="11" s="1"/>
  <c r="R32" i="11" a="1"/>
  <c r="R32" i="11" s="1"/>
  <c r="R33" i="11" a="1"/>
  <c r="R33" i="11" s="1"/>
  <c r="R34" i="11" a="1"/>
  <c r="R34" i="11" s="1"/>
  <c r="R35" i="11" a="1"/>
  <c r="R35" i="11" s="1"/>
  <c r="R36" i="11" a="1"/>
  <c r="R36" i="11" s="1"/>
  <c r="R44" i="11" a="1"/>
  <c r="R44" i="11" s="1"/>
  <c r="R45" i="11" a="1"/>
  <c r="R45" i="11" s="1"/>
  <c r="R46" i="11" a="1"/>
  <c r="R46" i="11" s="1"/>
  <c r="R47" i="11" a="1"/>
  <c r="R47" i="11" s="1"/>
  <c r="R51" i="11" l="1"/>
  <c r="B36" i="7"/>
  <c r="B37" i="7" s="1"/>
  <c r="B38" i="7" s="1"/>
  <c r="B39" i="7" s="1"/>
  <c r="B40" i="7" s="1"/>
  <c r="B41" i="7" s="1"/>
  <c r="B42" i="7" s="1"/>
  <c r="B43" i="7" s="1"/>
  <c r="B44" i="7" s="1"/>
  <c r="B45" i="7" s="1"/>
  <c r="B46" i="7" s="1"/>
  <c r="B47" i="7" s="1"/>
  <c r="B48" i="7" s="1"/>
  <c r="B49" i="7" s="1"/>
  <c r="B50" i="7" s="1"/>
  <c r="B51" i="7" s="1"/>
  <c r="B52" i="7" s="1"/>
  <c r="B53" i="7" s="1"/>
  <c r="B54" i="7" s="1"/>
  <c r="A11" i="1" l="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Raphael Costa</author>
  </authors>
  <commentList>
    <comment ref="C5" authorId="0" shapeId="0" xr:uid="{0B259FC9-A952-4B73-8A0E-99BA73C3AF45}">
      <text>
        <r>
          <rPr>
            <b/>
            <sz val="9"/>
            <color indexed="81"/>
            <rFont val="Tahoma"/>
            <charset val="1"/>
          </rPr>
          <t>Raphael Costa:</t>
        </r>
        <r>
          <rPr>
            <sz val="9"/>
            <color indexed="81"/>
            <rFont val="Tahoma"/>
            <charset val="1"/>
          </rPr>
          <t xml:space="preserve">
Permission Control inside our Sharepoint site and webpart database</t>
        </r>
      </text>
    </comment>
    <comment ref="C6" authorId="0" shapeId="0" xr:uid="{FB462167-FE44-40F0-8CDC-CF166270F044}">
      <text>
        <r>
          <rPr>
            <b/>
            <sz val="9"/>
            <color indexed="81"/>
            <rFont val="Tahoma"/>
            <charset val="1"/>
          </rPr>
          <t>Raphael Costa:</t>
        </r>
        <r>
          <rPr>
            <sz val="9"/>
            <color indexed="81"/>
            <rFont val="Tahoma"/>
            <charset val="1"/>
          </rPr>
          <t xml:space="preserve">
Permission Control inside our Sharepoint site and webpart database</t>
        </r>
      </text>
    </comment>
    <comment ref="C7" authorId="0" shapeId="0" xr:uid="{6DF3B460-6AB1-4D0C-9451-06A61A3E67C4}">
      <text>
        <r>
          <rPr>
            <b/>
            <sz val="9"/>
            <color indexed="81"/>
            <rFont val="Tahoma"/>
            <charset val="1"/>
          </rPr>
          <t>Raphael Costa:</t>
        </r>
        <r>
          <rPr>
            <sz val="9"/>
            <color indexed="81"/>
            <rFont val="Tahoma"/>
            <charset val="1"/>
          </rPr>
          <t xml:space="preserve">
We'll have a log from AI Outputs and changes that we made.</t>
        </r>
      </text>
    </comment>
    <comment ref="C11" authorId="0" shapeId="0" xr:uid="{AEC24E85-E134-4F02-AD5C-8832886A9398}">
      <text>
        <r>
          <rPr>
            <b/>
            <sz val="9"/>
            <color indexed="81"/>
            <rFont val="Tahoma"/>
            <family val="2"/>
          </rPr>
          <t>Raphael Costa:</t>
        </r>
        <r>
          <rPr>
            <sz val="9"/>
            <color indexed="81"/>
            <rFont val="Tahoma"/>
            <family val="2"/>
          </rPr>
          <t xml:space="preserve">
The AI ​​will not recommend specific suppliers or costs. Instead, it will assist in drafting the scope of supply list by simply listing the necessary equipment, tools, and resources based only on Oceaneering Datasheets and Catalogs;
AI Layer it will not address which supplier or cost price should be used. The Knowledge Base will serve solely to identify equipment and part numbers, where available.</t>
        </r>
      </text>
    </comment>
    <comment ref="C12" authorId="0" shapeId="0" xr:uid="{5CFF9859-E257-44B7-950E-5DDB02A0E49B}">
      <text>
        <r>
          <rPr>
            <b/>
            <sz val="9"/>
            <color indexed="81"/>
            <rFont val="Tahoma"/>
            <family val="2"/>
          </rPr>
          <t>Raphael Costa:</t>
        </r>
        <r>
          <rPr>
            <sz val="9"/>
            <color indexed="81"/>
            <rFont val="Tahoma"/>
            <family val="2"/>
          </rPr>
          <t xml:space="preserve">
The AI ​​will not recommend specific suppliers or costs. Instead, it will assist in drafting the scope of supply list by simply listing the necessary equipment, tools, and resources based only on Oceaneering Datasheets and Catalogs;
AI Layer it will not address which supplier or cost price should be used. The Knowledge Base will serve solely to identify equipment and part numbers, where available.</t>
        </r>
      </text>
    </comment>
    <comment ref="C15" authorId="0" shapeId="0" xr:uid="{1F89608A-9022-4B2F-888D-638CF06B039C}">
      <text>
        <r>
          <rPr>
            <b/>
            <sz val="9"/>
            <color indexed="81"/>
            <rFont val="Tahoma"/>
            <family val="2"/>
          </rPr>
          <t>Raphael Costa:</t>
        </r>
        <r>
          <rPr>
            <sz val="9"/>
            <color indexed="81"/>
            <rFont val="Tahoma"/>
            <family val="2"/>
          </rPr>
          <t xml:space="preserve">
Our System has permissions access and Members Management to only people who participate in the process.</t>
        </r>
      </text>
    </comment>
    <comment ref="C16" authorId="0" shapeId="0" xr:uid="{D5CAB9CD-BBCB-4E04-9786-F21C8E09C4A0}">
      <text>
        <r>
          <rPr>
            <b/>
            <sz val="9"/>
            <color indexed="81"/>
            <rFont val="Tahoma"/>
            <family val="2"/>
          </rPr>
          <t>Raphael Costa:</t>
        </r>
        <r>
          <rPr>
            <sz val="9"/>
            <color indexed="81"/>
            <rFont val="Tahoma"/>
            <family val="2"/>
          </rPr>
          <t xml:space="preserve">
Our System has permissions access and Members Management to only people who participate in the process.</t>
        </r>
      </text>
    </comment>
    <comment ref="C20" authorId="0" shapeId="0" xr:uid="{DB6061F5-AA01-461F-8B95-80D627673DB6}">
      <text>
        <r>
          <rPr>
            <b/>
            <sz val="9"/>
            <color indexed="81"/>
            <rFont val="Tahoma"/>
            <family val="2"/>
          </rPr>
          <t>Raphael Costa:</t>
        </r>
        <r>
          <rPr>
            <sz val="9"/>
            <color indexed="81"/>
            <rFont val="Tahoma"/>
            <family val="2"/>
          </rPr>
          <t xml:space="preserve">
Manually entering the quotes into the system wouldn't have such a significant impact on a specific bid.
We currently have a large list of recently obtained quotes that we would like to integrate into SmartBID, independently of any specific bid at the moment.</t>
        </r>
      </text>
    </comment>
    <comment ref="C22" authorId="0" shapeId="0" xr:uid="{2F3E4333-E217-4F56-9A3A-E22432E8DB8D}">
      <text>
        <r>
          <rPr>
            <b/>
            <sz val="9"/>
            <color indexed="81"/>
            <rFont val="Tahoma"/>
            <charset val="1"/>
          </rPr>
          <t>Raphael Costa:</t>
        </r>
        <r>
          <rPr>
            <sz val="9"/>
            <color indexed="81"/>
            <rFont val="Tahoma"/>
            <charset val="1"/>
          </rPr>
          <t xml:space="preserve">
The AI ​​will not recommend specific suppliers or costs. Instead, it will assist in drafting the scope of supply list by simply listing the necessary equipment, tools, and resources based only on Oceaneering Datasheets and Catalogs;
AI Layer it will not address which supplier or cost price should be used. The Knowledge Base will serve solely to identify equipment and part numbers, where available.</t>
        </r>
      </text>
    </comment>
    <comment ref="C23" authorId="0" shapeId="0" xr:uid="{7DB627A4-32E0-4D9B-88F1-EBB3DD8858FC}">
      <text>
        <r>
          <rPr>
            <b/>
            <sz val="9"/>
            <color indexed="81"/>
            <rFont val="Tahoma"/>
            <charset val="1"/>
          </rPr>
          <t>Raphael Costa:</t>
        </r>
        <r>
          <rPr>
            <sz val="9"/>
            <color indexed="81"/>
            <rFont val="Tahoma"/>
            <charset val="1"/>
          </rPr>
          <t xml:space="preserve">
We have a secure approval system with all sponsors</t>
        </r>
      </text>
    </comment>
    <comment ref="C26" authorId="0" shapeId="0" xr:uid="{46618BCD-08F5-4619-A06C-FF89D4653521}">
      <text>
        <r>
          <rPr>
            <b/>
            <sz val="9"/>
            <color indexed="81"/>
            <rFont val="Tahoma"/>
            <family val="2"/>
          </rPr>
          <t>Raphael Costa:</t>
        </r>
        <r>
          <rPr>
            <sz val="9"/>
            <color indexed="81"/>
            <rFont val="Tahoma"/>
            <family val="2"/>
          </rPr>
          <t xml:space="preserve">
Our System has permissions access and Members Management to only people who participate in the process. Knowledge Base pages will have a dedicated access permission.</t>
        </r>
      </text>
    </comment>
    <comment ref="C27" authorId="0" shapeId="0" xr:uid="{35C75C50-7A75-4117-B7BC-CC17D15997A9}">
      <text>
        <r>
          <rPr>
            <b/>
            <sz val="9"/>
            <color indexed="81"/>
            <rFont val="Tahoma"/>
            <family val="2"/>
          </rPr>
          <t>Raphael Costa:</t>
        </r>
        <r>
          <rPr>
            <sz val="9"/>
            <color indexed="81"/>
            <rFont val="Tahoma"/>
            <family val="2"/>
          </rPr>
          <t xml:space="preserve">
I believe that the commercial and sales aspect isn't covered by SmartBid.</t>
        </r>
      </text>
    </comment>
    <comment ref="C29" authorId="0" shapeId="0" xr:uid="{7AA0C0DF-B0E6-4343-B6B5-3F1BFAEF33D1}">
      <text>
        <r>
          <rPr>
            <b/>
            <sz val="9"/>
            <color indexed="81"/>
            <rFont val="Tahoma"/>
            <family val="2"/>
          </rPr>
          <t>Raphael Costa:</t>
        </r>
        <r>
          <rPr>
            <sz val="9"/>
            <color indexed="81"/>
            <rFont val="Tahoma"/>
            <family val="2"/>
          </rPr>
          <t xml:space="preserve">
Our current team of BID engineers possesses advanced knowledge of Oceaneering’s tools, which aids in the analysis and review of any AI recommendation.</t>
        </r>
      </text>
    </comment>
    <comment ref="C30" authorId="0" shapeId="0" xr:uid="{F591F651-05B7-4687-9AB9-9BBEA1389D7F}">
      <text>
        <r>
          <rPr>
            <b/>
            <sz val="9"/>
            <color indexed="81"/>
            <rFont val="Tahoma"/>
            <family val="2"/>
          </rPr>
          <t>Raphael Costa:</t>
        </r>
        <r>
          <rPr>
            <sz val="9"/>
            <color indexed="81"/>
            <rFont val="Tahoma"/>
            <family val="2"/>
          </rPr>
          <t xml:space="preserve">
We already have a page of "Unassigned Requests" before start working on RFQ. Every request will have a owner, reviewer and a list of approvals.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<sst xmlns="http://schemas.openxmlformats.org/spreadsheetml/2006/main" count="609" uniqueCount="373">
  <si>
    <t xml:space="preserve">Inital Risk Review Date </t>
  </si>
  <si>
    <t>Location:</t>
  </si>
  <si>
    <t>Business Unit:</t>
  </si>
  <si>
    <t xml:space="preserve">Title : </t>
  </si>
  <si>
    <t>Project Name &amp; Category</t>
  </si>
  <si>
    <t xml:space="preserve">Scope: </t>
  </si>
  <si>
    <t>Reviewer:</t>
  </si>
  <si>
    <t>Approver:</t>
  </si>
  <si>
    <t>Custodian:</t>
  </si>
  <si>
    <t>Attendees List</t>
  </si>
  <si>
    <t>Date 2</t>
  </si>
  <si>
    <t>Date 1</t>
  </si>
  <si>
    <t>No.</t>
  </si>
  <si>
    <t>Name</t>
  </si>
  <si>
    <t>Company</t>
  </si>
  <si>
    <t>Title</t>
  </si>
  <si>
    <t>Tel.</t>
  </si>
  <si>
    <t>E-mail</t>
  </si>
  <si>
    <t>plastow</t>
  </si>
  <si>
    <t>Kenneth Gray</t>
  </si>
  <si>
    <t>Matthew Vick</t>
  </si>
  <si>
    <t>Mohamed Atef</t>
  </si>
  <si>
    <t>Stan Ralph</t>
  </si>
  <si>
    <t>Andrea Hughes</t>
  </si>
  <si>
    <t>Barry Valentine</t>
  </si>
  <si>
    <t>Rob Munger</t>
  </si>
  <si>
    <t>Jeff Smith</t>
  </si>
  <si>
    <t>Kevin Rothery</t>
  </si>
  <si>
    <t>Carlos Henriques</t>
  </si>
  <si>
    <t>Richard Gall</t>
  </si>
  <si>
    <t>Mauricio Useche</t>
  </si>
  <si>
    <t>Bob Hamilton</t>
  </si>
  <si>
    <t>John Keyte</t>
  </si>
  <si>
    <t>Ahmed Fouad</t>
  </si>
  <si>
    <t>Bob Johansen</t>
  </si>
  <si>
    <t>Martin Pritchett</t>
  </si>
  <si>
    <t>Matthew Law</t>
  </si>
  <si>
    <t>George Stead</t>
  </si>
  <si>
    <t>George Waugh</t>
  </si>
  <si>
    <t>Jackson dos Santos</t>
  </si>
  <si>
    <t>Miguel Campos Dias</t>
  </si>
  <si>
    <t>Kelly Rives</t>
  </si>
  <si>
    <t>Justin Bullard</t>
  </si>
  <si>
    <t>Dave Jenner</t>
  </si>
  <si>
    <t>Mohamed Shawky</t>
  </si>
  <si>
    <t>Mohammed Issa</t>
  </si>
  <si>
    <t>Paul Martyniak</t>
  </si>
  <si>
    <t>Andrew Humphrey</t>
  </si>
  <si>
    <t>Jose C Gabriel</t>
  </si>
  <si>
    <t>Napier</t>
  </si>
  <si>
    <t>O'Leary</t>
  </si>
  <si>
    <t>Risk Register ID:</t>
  </si>
  <si>
    <t>Probability</t>
  </si>
  <si>
    <t>Impact</t>
  </si>
  <si>
    <t>Nil</t>
  </si>
  <si>
    <t>Very Low</t>
  </si>
  <si>
    <t>Project:</t>
  </si>
  <si>
    <t>Business Unit(s):</t>
  </si>
  <si>
    <t>Location(s):</t>
  </si>
  <si>
    <t>Low</t>
  </si>
  <si>
    <t>Moderate</t>
  </si>
  <si>
    <t>Risk #</t>
  </si>
  <si>
    <t>Risk Category</t>
  </si>
  <si>
    <t>Threat or Opportunity</t>
  </si>
  <si>
    <r>
      <t xml:space="preserve">Risk Description
</t>
    </r>
    <r>
      <rPr>
        <i/>
        <sz val="9"/>
        <color rgb="FF000000"/>
        <rFont val="Arial"/>
        <family val="2"/>
      </rPr>
      <t>(Note 1)</t>
    </r>
  </si>
  <si>
    <t>Unmitigated Risk</t>
  </si>
  <si>
    <t>Risk Response</t>
  </si>
  <si>
    <t>Resultant Risk</t>
  </si>
  <si>
    <t>Contingency Plan Required?</t>
  </si>
  <si>
    <t>Contingency Plan</t>
  </si>
  <si>
    <t>Medium</t>
  </si>
  <si>
    <t>High</t>
  </si>
  <si>
    <t xml:space="preserve">Probability </t>
  </si>
  <si>
    <t>Risk Score</t>
  </si>
  <si>
    <t>Owner</t>
  </si>
  <si>
    <t>Plan</t>
  </si>
  <si>
    <t>Status</t>
  </si>
  <si>
    <t>Very High</t>
  </si>
  <si>
    <t>Date Created / Revised:</t>
  </si>
  <si>
    <t>Optional Columns</t>
  </si>
  <si>
    <t>Name:</t>
  </si>
  <si>
    <t>Project No.:</t>
  </si>
  <si>
    <t>Project Category:</t>
  </si>
  <si>
    <t>Project Manager:</t>
  </si>
  <si>
    <t>Currency:</t>
  </si>
  <si>
    <t>Business Segment:</t>
  </si>
  <si>
    <t>*** Mitigated Risk Assessment ***</t>
  </si>
  <si>
    <t>Risk Processes:</t>
  </si>
  <si>
    <t>*** Identify Risks ***</t>
  </si>
  <si>
    <t>*** Risk Assessment (with existing controls) ***</t>
  </si>
  <si>
    <t>*** Plan &amp; Implement Risk Responses ***</t>
  </si>
  <si>
    <t>NOTE: To be completed for Project Category 3 &amp; 4 and in case of an unmitigated risk score that is High.</t>
  </si>
  <si>
    <t>Risk
Type</t>
  </si>
  <si>
    <r>
      <t>Risk Description</t>
    </r>
    <r>
      <rPr>
        <sz val="10"/>
        <color rgb="FF000000"/>
        <rFont val="Arial"/>
        <family val="2"/>
      </rPr>
      <t xml:space="preserve">
("Because of </t>
    </r>
    <r>
      <rPr>
        <u/>
        <sz val="10"/>
        <color rgb="FF000000"/>
        <rFont val="Arial"/>
        <family val="2"/>
      </rPr>
      <t xml:space="preserve">   X   </t>
    </r>
    <r>
      <rPr>
        <sz val="10"/>
        <color rgb="FF000000"/>
        <rFont val="Arial"/>
        <family val="2"/>
      </rPr>
      <t xml:space="preserve">, there is a potential of </t>
    </r>
    <r>
      <rPr>
        <u/>
        <sz val="10"/>
        <color rgb="FF000000"/>
        <rFont val="Arial"/>
        <family val="2"/>
      </rPr>
      <t xml:space="preserve">   Y    </t>
    </r>
    <r>
      <rPr>
        <sz val="10"/>
        <color rgb="FF000000"/>
        <rFont val="Arial"/>
        <family val="2"/>
      </rPr>
      <t xml:space="preserve"> which could result in </t>
    </r>
    <r>
      <rPr>
        <u/>
        <sz val="10"/>
        <color rgb="FF000000"/>
        <rFont val="Arial"/>
        <family val="2"/>
      </rPr>
      <t xml:space="preserve">   Z   </t>
    </r>
    <r>
      <rPr>
        <sz val="10"/>
        <color rgb="FF000000"/>
        <rFont val="Arial"/>
        <family val="2"/>
      </rPr>
      <t>.")</t>
    </r>
  </si>
  <si>
    <t>Risk
Category</t>
  </si>
  <si>
    <t>Risk
Owner</t>
  </si>
  <si>
    <t>Unmitigated
Cost of Risk</t>
  </si>
  <si>
    <t>Probability
Rating
[1-5]</t>
  </si>
  <si>
    <t>Impact
Type</t>
  </si>
  <si>
    <t>Impact
Rating
[1-5]</t>
  </si>
  <si>
    <t>Risk
Score
[1-25]</t>
  </si>
  <si>
    <t>Threat
Response
Strategy</t>
  </si>
  <si>
    <t>Opportunity
Response
Strategy</t>
  </si>
  <si>
    <t>Risk Response Plan &amp;
Implementation/Status/Completion Date</t>
  </si>
  <si>
    <t>Risk Response
Plan Cost</t>
  </si>
  <si>
    <t>.                         Column1</t>
  </si>
  <si>
    <t>Probability
Rating 
[1-5]</t>
  </si>
  <si>
    <t>Impact
Rating 
[1-5]</t>
  </si>
  <si>
    <t>Risk
Score 
[1-25]</t>
  </si>
  <si>
    <t>Mitigated
Cost of 
Risk</t>
  </si>
  <si>
    <t xml:space="preserve">Note: Copy existing rows and insert them above this row to expand the Risk Register. </t>
  </si>
  <si>
    <t>Risk Assessment Matrix for Threats</t>
  </si>
  <si>
    <t>Unlikely</t>
  </si>
  <si>
    <t>Financial</t>
  </si>
  <si>
    <t>Schedule</t>
  </si>
  <si>
    <t>Performance</t>
  </si>
  <si>
    <t>Health/Safety</t>
  </si>
  <si>
    <t>Market Reputation</t>
  </si>
  <si>
    <t>Project cost increase
of &gt;15% or &gt;$10M
(whichever is less).</t>
  </si>
  <si>
    <t>National impact.  Extensive adverse attention in national media.  National policies with potentially restrictive measures or impact on future operations.  Mobilization of action groups.</t>
  </si>
  <si>
    <t>Project objectives met but failure to achieve specifications of an element.</t>
  </si>
  <si>
    <t>Considerable impact with regional client and public concern.  Extensive adverse attention in local media.  Slight regional political attention.  Adverse stance of local government or action groups.</t>
  </si>
  <si>
    <t>Partial failure to achieve specification of an element but within tolerance.</t>
  </si>
  <si>
    <t>Limited impact where some local client or public concern.  Some local media or political attention with potentially adverse impact for operations.</t>
  </si>
  <si>
    <t>Project cost increase
of &lt;2% or &lt;$50K
(whichever is less).</t>
  </si>
  <si>
    <t>No impact on project objectives.</t>
  </si>
  <si>
    <t>Slight impact where Client and public awareness may exist but there is no public concern.</t>
  </si>
  <si>
    <r>
      <t xml:space="preserve">The Threat </t>
    </r>
    <r>
      <rPr>
        <u/>
        <sz val="10"/>
        <rFont val="Arial"/>
        <family val="2"/>
      </rPr>
      <t>must have</t>
    </r>
    <r>
      <rPr>
        <sz val="10"/>
        <rFont val="Arial"/>
        <family val="2"/>
      </rPr>
      <t xml:space="preserve"> a Risk Response Plan developed in order to improve the probability and/or impact to an acceptable level.</t>
    </r>
  </si>
  <si>
    <r>
      <t xml:space="preserve">The Threat </t>
    </r>
    <r>
      <rPr>
        <u/>
        <sz val="10"/>
        <rFont val="Arial"/>
        <family val="2"/>
      </rPr>
      <t>may have</t>
    </r>
    <r>
      <rPr>
        <sz val="10"/>
        <rFont val="Arial"/>
        <family val="2"/>
      </rPr>
      <t xml:space="preserve"> a Risk Response Plan developed at the discretion of the Project Team in order to improve the probability and/or impact to an acceptable level.</t>
    </r>
  </si>
  <si>
    <t>Guideline for Impact Ratings (by Impact Type)
For each Threat identified, determine the Impact Type that results in the highest Impact Rating.  Subsequently, enter the Impact Rating in the Project Risk Register.</t>
  </si>
  <si>
    <t>Highly Unlikely</t>
  </si>
  <si>
    <t>Possible</t>
  </si>
  <si>
    <t>Likely</t>
  </si>
  <si>
    <t>Highly Likely</t>
  </si>
  <si>
    <t>Environment</t>
  </si>
  <si>
    <t>Permanent total disability with a possibility of a loss of life from an incident or occupational illness.</t>
  </si>
  <si>
    <t>Severe or extensive environmental impact affecting sensitive environmental resources.  Release of hazardous material beyond containment, near human populations.</t>
  </si>
  <si>
    <t>Significant schedule impact to critical path/major milestone(s)
(=/&gt;20% schedule extension).</t>
  </si>
  <si>
    <r>
      <t>Complete</t>
    </r>
    <r>
      <rPr>
        <u/>
        <sz val="10"/>
        <rFont val="Arial"/>
        <family val="2"/>
      </rPr>
      <t xml:space="preserve"> or material </t>
    </r>
    <r>
      <rPr>
        <sz val="10"/>
        <rFont val="Arial"/>
        <family val="2"/>
      </rPr>
      <t>failure to achieve project objectives.</t>
    </r>
  </si>
  <si>
    <t>International impact with international public attention.  Extensive adverse attention in international media.  International policies with potentially severe impact on access to new operational areas.</t>
  </si>
  <si>
    <t>Permanent total disability from an incident or occupational illness.</t>
  </si>
  <si>
    <t>Signficant environmental impact affecting sensitive environmental resources.   Extended exceedance of discharge limits.  Release of hazardous material beyond containment, distant from human populations.</t>
  </si>
  <si>
    <t>Project cost increase
of 10% to 15% or $1M-$10M
(whichever is less).</t>
  </si>
  <si>
    <t>Significant schedule impact to critical path
(10% to &lt;20% schedule extension).</t>
  </si>
  <si>
    <t>Failure to achieve some project objectives.</t>
  </si>
  <si>
    <t>Major injury or health effects including days-away-from-work injuries that affect work performance in the longer term.</t>
  </si>
  <si>
    <t>Limited or transient environmental impact. Minor localized impact on sensitive environmental resources. Repeated exceedance of discharge limits.  Release of hazardous material beyond containment.</t>
  </si>
  <si>
    <t>Project cost increase
of 5% to &lt;10% or $150K-$1M
(whichever is less).</t>
  </si>
  <si>
    <t>Significant schedule impact to milestone(s)
(5% to &lt;10% schedule extension).</t>
  </si>
  <si>
    <t>Minor injury or health effects.  Medical treatment cases, restricted-duty injuries and limited health effects that are transient or reversible (e.g., food poisoning, skin irritation).</t>
  </si>
  <si>
    <t>No impact on sensitive environmental resources.  Single exceedence of legal discharge limits.  No hazardous material release beyond containment.</t>
  </si>
  <si>
    <t>Project cost increase
of 2% to &lt;5% or $50K-$150K
(whichever is less).</t>
  </si>
  <si>
    <t>Minor overall schedule impact
(2% to &lt;5% schedule extension).</t>
  </si>
  <si>
    <t>Potential for slight injury (including first aid cases) not affecting work performance or causing days away from work or disability.</t>
  </si>
  <si>
    <t>Minor environmental impact contained within facility boundaries.  No hazardous material release.</t>
  </si>
  <si>
    <t>Negligible schedule impact
(&lt;2% schedule extension).</t>
  </si>
  <si>
    <t>Guideline for Probability Ratings
Note: For the identified Risk, enter the Probability Rating in the Project Risk Register.</t>
  </si>
  <si>
    <t xml:space="preserve">Highly Unlikely (1) </t>
  </si>
  <si>
    <t>Never occurred in the industry.</t>
  </si>
  <si>
    <t>Unlikely (2)</t>
  </si>
  <si>
    <t>Previously occurred in the industry.</t>
  </si>
  <si>
    <t>Possible (3)</t>
  </si>
  <si>
    <t>Occurs more than once per year in the industry.</t>
  </si>
  <si>
    <t>Likely (4)</t>
  </si>
  <si>
    <t>Occurs more than once per year in the industry and has occurred in Oceaneering.</t>
  </si>
  <si>
    <t>Highly Likely (5)</t>
  </si>
  <si>
    <t>Common in the industry and/or Oceaneering.</t>
  </si>
  <si>
    <t>Guideline for Threat Response Plans</t>
  </si>
  <si>
    <t>High
(12-25)</t>
  </si>
  <si>
    <r>
      <t>Medium</t>
    </r>
    <r>
      <rPr>
        <b/>
        <vertAlign val="superscript"/>
        <sz val="10"/>
        <rFont val="Arial"/>
        <family val="2"/>
      </rPr>
      <t>1</t>
    </r>
    <r>
      <rPr>
        <b/>
        <sz val="10"/>
        <rFont val="Arial"/>
        <family val="2"/>
      </rPr>
      <t xml:space="preserve">
(5-11)</t>
    </r>
  </si>
  <si>
    <t>Low
(1-4)</t>
  </si>
  <si>
    <r>
      <t xml:space="preserve">The Threat </t>
    </r>
    <r>
      <rPr>
        <u/>
        <sz val="10"/>
        <rFont val="Arial"/>
        <family val="2"/>
      </rPr>
      <t>does not require</t>
    </r>
    <r>
      <rPr>
        <sz val="10"/>
        <rFont val="Arial"/>
        <family val="2"/>
      </rPr>
      <t xml:space="preserve"> a Risk Response Plan; however the Project Team should ensure that existing controls are monitored and fully implemented to keep the risk level as low as practical.</t>
    </r>
  </si>
  <si>
    <r>
      <rPr>
        <b/>
        <vertAlign val="superscript"/>
        <sz val="10"/>
        <rFont val="Arial"/>
        <family val="2"/>
      </rPr>
      <t>1</t>
    </r>
    <r>
      <rPr>
        <b/>
        <sz val="10"/>
        <rFont val="Arial"/>
        <family val="2"/>
      </rPr>
      <t>If the existing controls and risk mitigation do not adequately address the risk of adverse Health, Safety or Environmental effects associated with work, an adequate Risk Response Plan must be implemented before work commences or the work may not proceed, regardless of the Mitigated Risk Score.</t>
    </r>
  </si>
  <si>
    <t>Risk Assessment Matrix for Opportunities</t>
  </si>
  <si>
    <r>
      <t>Guideline for Impact Ratings (by Impact Type)</t>
    </r>
    <r>
      <rPr>
        <sz val="12"/>
        <rFont val="Arial"/>
        <family val="2"/>
      </rPr>
      <t xml:space="preserve">
For each Opportunity indentified, determine the Impact Type that results in the highest Impact Rating.  Subsequently, enter the Impact Rating in the Project Risk Register.</t>
    </r>
  </si>
  <si>
    <t>Probability of Success</t>
  </si>
  <si>
    <t xml:space="preserve">Likely </t>
  </si>
  <si>
    <t>Baseline revenue increase of &gt;15% or &gt;$10M (whichever is more).</t>
  </si>
  <si>
    <t>Significant schedule improvement to critical path/major milestone(s)
(&gt;10% net gain to planned schedule).</t>
  </si>
  <si>
    <t>Baseline revenue increase of 10%-15% or $1M-$10M (whichever is more).</t>
  </si>
  <si>
    <t>Significant schedule improvement to critical path 
(5%-10% net gain to planned schedule).</t>
  </si>
  <si>
    <t>Baseline revenue increase of 5%-10% or $150K-$1M (whichever is more).</t>
  </si>
  <si>
    <t>Significant schedule improvement to milestone(s) 
(2%-5% net gain to planned schedule).</t>
  </si>
  <si>
    <t>Baseline revenue increase of 2%-5% or $50K-$150K (whichever is more).</t>
  </si>
  <si>
    <t>Minor schedule improvement 
(1%-2% net gain to planned schedule).</t>
  </si>
  <si>
    <t>Baseline revenue increase of &lt;2% or &lt;$50K (whichever is more).</t>
  </si>
  <si>
    <t>Negligible schedule improvement 
(&lt;1% net gain to planned schedule).</t>
  </si>
  <si>
    <r>
      <rPr>
        <b/>
        <sz val="14"/>
        <rFont val="Arial"/>
        <family val="2"/>
      </rPr>
      <t>Guideline for Probability Ratings</t>
    </r>
    <r>
      <rPr>
        <b/>
        <sz val="12"/>
        <rFont val="Arial"/>
        <family val="2"/>
      </rPr>
      <t xml:space="preserve">
Note: For the indentified Opportunity, enter the Probability Rating in the Project Risk Register.</t>
    </r>
  </si>
  <si>
    <r>
      <t xml:space="preserve">Common in the industry and/or Oceaneering.
With suitable planning and resourcing, there is a </t>
    </r>
    <r>
      <rPr>
        <b/>
        <sz val="10"/>
        <color theme="1"/>
        <rFont val="Arial"/>
        <family val="2"/>
      </rPr>
      <t>High</t>
    </r>
    <r>
      <rPr>
        <sz val="10"/>
        <color theme="1"/>
        <rFont val="Arial"/>
        <family val="2"/>
      </rPr>
      <t xml:space="preserve"> likelihood of the opportunity being realized</t>
    </r>
  </si>
  <si>
    <r>
      <t xml:space="preserve">Occurs more than once per year in the industry and has occurred in Oceaneering.
With suitable planning and resourcing, there is a </t>
    </r>
    <r>
      <rPr>
        <b/>
        <sz val="10"/>
        <color theme="1"/>
        <rFont val="Arial"/>
        <family val="2"/>
      </rPr>
      <t>Medium to High</t>
    </r>
    <r>
      <rPr>
        <sz val="10"/>
        <color theme="1"/>
        <rFont val="Arial"/>
        <family val="2"/>
      </rPr>
      <t xml:space="preserve"> likelihood of the opportunity being realized</t>
    </r>
  </si>
  <si>
    <r>
      <t xml:space="preserve">Occurs more than once per year in the industry/
With suitable planning and resourcing, there is a </t>
    </r>
    <r>
      <rPr>
        <b/>
        <sz val="10"/>
        <color theme="1"/>
        <rFont val="Arial"/>
        <family val="2"/>
      </rPr>
      <t>Medium</t>
    </r>
    <r>
      <rPr>
        <sz val="10"/>
        <color theme="1"/>
        <rFont val="Arial"/>
        <family val="2"/>
      </rPr>
      <t xml:space="preserve"> likelihood of the opportunity being realized</t>
    </r>
  </si>
  <si>
    <r>
      <t xml:space="preserve">Previously occurred in the industry.
With suitable planning and resourcing, there is a </t>
    </r>
    <r>
      <rPr>
        <b/>
        <sz val="10"/>
        <color theme="1"/>
        <rFont val="Arial"/>
        <family val="2"/>
      </rPr>
      <t>Low to Medium</t>
    </r>
    <r>
      <rPr>
        <sz val="10"/>
        <color theme="1"/>
        <rFont val="Arial"/>
        <family val="2"/>
      </rPr>
      <t xml:space="preserve"> likelihood of the opportunity being realized</t>
    </r>
  </si>
  <si>
    <t>Highly Unlikely (1)</t>
  </si>
  <si>
    <r>
      <t xml:space="preserve">Never occurred in the industry.
With suitable planning and resourcing, there is a </t>
    </r>
    <r>
      <rPr>
        <b/>
        <sz val="10"/>
        <color theme="1"/>
        <rFont val="Arial"/>
        <family val="2"/>
      </rPr>
      <t>Low</t>
    </r>
    <r>
      <rPr>
        <sz val="10"/>
        <color theme="1"/>
        <rFont val="Arial"/>
        <family val="2"/>
      </rPr>
      <t xml:space="preserve"> likelihood of the opportunity being realized</t>
    </r>
  </si>
  <si>
    <t>Guideline for Opportunity Response Plans</t>
  </si>
  <si>
    <r>
      <t xml:space="preserve">The Opportunity </t>
    </r>
    <r>
      <rPr>
        <u/>
        <sz val="10"/>
        <rFont val="Arial"/>
        <family val="2"/>
      </rPr>
      <t>must have</t>
    </r>
    <r>
      <rPr>
        <sz val="10"/>
        <rFont val="Arial"/>
        <family val="2"/>
      </rPr>
      <t xml:space="preserve"> an Opportunity Response Plan to maximize value from the potential opportunity. </t>
    </r>
  </si>
  <si>
    <t>Medium
(5-11)</t>
  </si>
  <si>
    <r>
      <t xml:space="preserve">The Opportunity </t>
    </r>
    <r>
      <rPr>
        <u/>
        <sz val="10"/>
        <rFont val="Arial"/>
        <family val="2"/>
      </rPr>
      <t>may have</t>
    </r>
    <r>
      <rPr>
        <sz val="10"/>
        <rFont val="Arial"/>
        <family val="2"/>
      </rPr>
      <t xml:space="preserve"> an Opportunity Response Plan developed at the dsicretion of the Project Team in order to maximize the return from the potential opportunity.</t>
    </r>
  </si>
  <si>
    <r>
      <t xml:space="preserve">The Opportunity </t>
    </r>
    <r>
      <rPr>
        <u/>
        <sz val="10"/>
        <rFont val="Arial"/>
        <family val="2"/>
      </rPr>
      <t>does not require</t>
    </r>
    <r>
      <rPr>
        <sz val="10"/>
        <rFont val="Arial"/>
        <family val="2"/>
      </rPr>
      <t xml:space="preserve"> an Opportunity Response Plan; however, the Project Team should ensure that existing opportunity is monitored in case of any change in curncumstances. </t>
    </r>
  </si>
  <si>
    <t>Oceaneering Communication Matrix based on Risk Consequence</t>
  </si>
  <si>
    <t>Reference: Quality DOC-COM-25-NUM Revision D</t>
  </si>
  <si>
    <t xml:space="preserve">This communication protocol is to be followed based on the Residual Mitigated Consequence Level (irrespective of mitigated risk score)  </t>
  </si>
  <si>
    <t>Event Criteria</t>
  </si>
  <si>
    <t>Notification Method</t>
  </si>
  <si>
    <t>Customer Impact</t>
  </si>
  <si>
    <t>Consequence Level</t>
  </si>
  <si>
    <r>
      <t>Ø</t>
    </r>
    <r>
      <rPr>
        <b/>
        <sz val="10"/>
        <color rgb="FF000080"/>
        <rFont val="Times New Roman"/>
        <family val="1"/>
      </rPr>
      <t xml:space="preserve">  </t>
    </r>
    <r>
      <rPr>
        <b/>
        <sz val="10"/>
        <color rgb="FF000080"/>
        <rFont val="Arial"/>
        <family val="2"/>
      </rPr>
      <t>Damage to customer reputation at an international level / companywide.</t>
    </r>
  </si>
  <si>
    <r>
      <t>Ø</t>
    </r>
    <r>
      <rPr>
        <b/>
        <sz val="10"/>
        <color rgb="FF000080"/>
        <rFont val="Times New Roman"/>
        <family val="1"/>
      </rPr>
      <t xml:space="preserve">  </t>
    </r>
    <r>
      <rPr>
        <b/>
        <sz val="10"/>
        <color rgb="FF000080"/>
        <rFont val="Arial"/>
        <family val="2"/>
      </rPr>
      <t>Failure occurs without warning.</t>
    </r>
  </si>
  <si>
    <r>
      <t>Ø</t>
    </r>
    <r>
      <rPr>
        <b/>
        <sz val="10"/>
        <color rgb="FF000080"/>
        <rFont val="Times New Roman"/>
        <family val="1"/>
      </rPr>
      <t xml:space="preserve">  </t>
    </r>
    <r>
      <rPr>
        <b/>
        <sz val="10"/>
        <color rgb="FF000080"/>
        <rFont val="Arial"/>
        <family val="2"/>
      </rPr>
      <t>Potential schedule milestone extended over 30%.</t>
    </r>
  </si>
  <si>
    <t>Email, Phone Call</t>
  </si>
  <si>
    <r>
      <t>Ø</t>
    </r>
    <r>
      <rPr>
        <b/>
        <sz val="10"/>
        <color rgb="FF000080"/>
        <rFont val="Times New Roman"/>
        <family val="1"/>
      </rPr>
      <t xml:space="preserve">  </t>
    </r>
    <r>
      <rPr>
        <b/>
        <sz val="10"/>
        <color rgb="FF000080"/>
        <rFont val="Arial"/>
        <family val="2"/>
      </rPr>
      <t>Impact of not being able to bid for new contracts.</t>
    </r>
  </si>
  <si>
    <r>
      <t>Ø</t>
    </r>
    <r>
      <rPr>
        <b/>
        <sz val="10"/>
        <color rgb="FF000080"/>
        <rFont val="Times New Roman"/>
        <family val="1"/>
      </rPr>
      <t xml:space="preserve">  </t>
    </r>
    <r>
      <rPr>
        <b/>
        <sz val="10"/>
        <color rgb="FF000080"/>
        <rFont val="Arial"/>
        <family val="2"/>
      </rPr>
      <t>Affects / violates safe operation and / or involves non-compliance with regulations.</t>
    </r>
  </si>
  <si>
    <r>
      <t>Ø</t>
    </r>
    <r>
      <rPr>
        <b/>
        <sz val="10"/>
        <color rgb="FF000080"/>
        <rFont val="Times New Roman"/>
        <family val="1"/>
      </rPr>
      <t xml:space="preserve">  </t>
    </r>
    <r>
      <rPr>
        <b/>
        <sz val="10"/>
        <color rgb="FF000080"/>
        <rFont val="Arial"/>
        <family val="2"/>
      </rPr>
      <t>Potential schedule slip will incur customer concessions.</t>
    </r>
  </si>
  <si>
    <r>
      <t>Ø</t>
    </r>
    <r>
      <rPr>
        <b/>
        <sz val="10"/>
        <color rgb="FF000080"/>
        <rFont val="Times New Roman"/>
        <family val="1"/>
      </rPr>
      <t xml:space="preserve">  </t>
    </r>
    <r>
      <rPr>
        <b/>
        <sz val="10"/>
        <color rgb="FF000080"/>
        <rFont val="Arial"/>
        <family val="2"/>
      </rPr>
      <t>Customer impacted downtime over 48 hrs.</t>
    </r>
  </si>
  <si>
    <r>
      <t>Ø</t>
    </r>
    <r>
      <rPr>
        <b/>
        <sz val="10"/>
        <color rgb="FF000080"/>
        <rFont val="Times New Roman"/>
        <family val="1"/>
      </rPr>
      <t xml:space="preserve">  </t>
    </r>
    <r>
      <rPr>
        <b/>
        <sz val="10"/>
        <color rgb="FF000080"/>
        <rFont val="Arial"/>
        <family val="2"/>
      </rPr>
      <t>Deliverable(s) may be above 25% of budget.</t>
    </r>
  </si>
  <si>
    <r>
      <t>Ø</t>
    </r>
    <r>
      <rPr>
        <b/>
        <sz val="10"/>
        <color rgb="FF000080"/>
        <rFont val="Times New Roman"/>
        <family val="1"/>
      </rPr>
      <t xml:space="preserve">  </t>
    </r>
    <r>
      <rPr>
        <b/>
        <sz val="10"/>
        <color rgb="FF000080"/>
        <rFont val="Arial"/>
        <family val="2"/>
      </rPr>
      <t>Equipment failure over 72 hrs.</t>
    </r>
  </si>
  <si>
    <r>
      <t>Ø</t>
    </r>
    <r>
      <rPr>
        <b/>
        <sz val="10"/>
        <color rgb="FF000080"/>
        <rFont val="Times New Roman"/>
        <family val="1"/>
      </rPr>
      <t xml:space="preserve">  </t>
    </r>
    <r>
      <rPr>
        <b/>
        <sz val="10"/>
        <color rgb="FF000080"/>
        <rFont val="Arial"/>
        <family val="2"/>
      </rPr>
      <t>Impact of not being awarded new contracts at a regional level.</t>
    </r>
  </si>
  <si>
    <r>
      <t>Ø</t>
    </r>
    <r>
      <rPr>
        <b/>
        <sz val="10"/>
        <color rgb="FF000080"/>
        <rFont val="Times New Roman"/>
        <family val="1"/>
      </rPr>
      <t xml:space="preserve">  </t>
    </r>
    <r>
      <rPr>
        <b/>
        <sz val="10"/>
        <color rgb="FF000080"/>
        <rFont val="Arial"/>
        <family val="2"/>
      </rPr>
      <t>Deliverable(s) may need to be scrapped or above 15% of budget.</t>
    </r>
  </si>
  <si>
    <r>
      <t>Ø</t>
    </r>
    <r>
      <rPr>
        <b/>
        <sz val="10"/>
        <color rgb="FF000080"/>
        <rFont val="Times New Roman"/>
        <family val="1"/>
      </rPr>
      <t xml:space="preserve">  </t>
    </r>
    <r>
      <rPr>
        <b/>
        <sz val="10"/>
        <color rgb="FF000080"/>
        <rFont val="Arial"/>
        <family val="2"/>
      </rPr>
      <t>Potential schedule milestone extended over 10% - 30%.</t>
    </r>
  </si>
  <si>
    <r>
      <t>Ø</t>
    </r>
    <r>
      <rPr>
        <b/>
        <sz val="10"/>
        <color rgb="FF000080"/>
        <rFont val="Times New Roman"/>
        <family val="1"/>
      </rPr>
      <t xml:space="preserve">  </t>
    </r>
    <r>
      <rPr>
        <b/>
        <sz val="10"/>
        <color rgb="FF000080"/>
        <rFont val="Arial"/>
        <family val="2"/>
      </rPr>
      <t>Customer impacted downtime over 24 hrs.</t>
    </r>
  </si>
  <si>
    <r>
      <t>Ø</t>
    </r>
    <r>
      <rPr>
        <b/>
        <sz val="10"/>
        <color rgb="FF000080"/>
        <rFont val="Times New Roman"/>
        <family val="1"/>
      </rPr>
      <t xml:space="preserve">  </t>
    </r>
    <r>
      <rPr>
        <b/>
        <sz val="10"/>
        <color rgb="FF000080"/>
        <rFont val="Arial"/>
        <family val="2"/>
      </rPr>
      <t>Deliverable(s) may be fit for purpose but may have reduced levels of primary performance.</t>
    </r>
  </si>
  <si>
    <r>
      <t>Ø</t>
    </r>
    <r>
      <rPr>
        <b/>
        <sz val="10"/>
        <color rgb="FF000080"/>
        <rFont val="Times New Roman"/>
        <family val="1"/>
      </rPr>
      <t xml:space="preserve">  </t>
    </r>
    <r>
      <rPr>
        <b/>
        <sz val="10"/>
        <color rgb="FF000080"/>
        <rFont val="Arial"/>
        <family val="2"/>
      </rPr>
      <t>Results in delays with customer schedule.</t>
    </r>
  </si>
  <si>
    <r>
      <t>Ø</t>
    </r>
    <r>
      <rPr>
        <b/>
        <sz val="10"/>
        <color rgb="FF000080"/>
        <rFont val="Times New Roman"/>
        <family val="1"/>
      </rPr>
      <t xml:space="preserve">  </t>
    </r>
    <r>
      <rPr>
        <b/>
        <sz val="10"/>
        <color rgb="FF000080"/>
        <rFont val="Arial"/>
        <family val="2"/>
      </rPr>
      <t>Multiple contractual requirements not met.</t>
    </r>
  </si>
  <si>
    <r>
      <t>Ø</t>
    </r>
    <r>
      <rPr>
        <b/>
        <sz val="10"/>
        <color rgb="FF000080"/>
        <rFont val="Times New Roman"/>
        <family val="1"/>
      </rPr>
      <t xml:space="preserve">  </t>
    </r>
    <r>
      <rPr>
        <b/>
        <sz val="10"/>
        <color rgb="FF000080"/>
        <rFont val="Arial"/>
        <family val="2"/>
      </rPr>
      <t>Equipment failure over 48 hrs.</t>
    </r>
  </si>
  <si>
    <r>
      <t>Ø</t>
    </r>
    <r>
      <rPr>
        <b/>
        <sz val="10"/>
        <color rgb="FF000080"/>
        <rFont val="Times New Roman"/>
        <family val="1"/>
      </rPr>
      <t xml:space="preserve">  </t>
    </r>
    <r>
      <rPr>
        <b/>
        <sz val="10"/>
        <color rgb="FF000080"/>
        <rFont val="Arial"/>
        <family val="2"/>
      </rPr>
      <t>Customer impacted downtime between 12 and 24 hrs.</t>
    </r>
  </si>
  <si>
    <r>
      <t>Ø</t>
    </r>
    <r>
      <rPr>
        <b/>
        <sz val="10"/>
        <color rgb="FF000080"/>
        <rFont val="Times New Roman"/>
        <family val="1"/>
      </rPr>
      <t xml:space="preserve">  </t>
    </r>
    <r>
      <rPr>
        <b/>
        <sz val="10"/>
        <color rgb="FF000080"/>
        <rFont val="Arial"/>
        <family val="2"/>
      </rPr>
      <t>Most deliverable(s) may have to be reworked, are late, or above 10% of budget.</t>
    </r>
  </si>
  <si>
    <r>
      <t>Ø</t>
    </r>
    <r>
      <rPr>
        <b/>
        <sz val="10"/>
        <color rgb="FF000080"/>
        <rFont val="Times New Roman"/>
        <family val="1"/>
      </rPr>
      <t xml:space="preserve">  </t>
    </r>
    <r>
      <rPr>
        <b/>
        <sz val="10"/>
        <color rgb="FF000080"/>
        <rFont val="Arial"/>
        <family val="2"/>
      </rPr>
      <t>Potential schedule milestone extended 5% - 10%.</t>
    </r>
  </si>
  <si>
    <t>Email</t>
  </si>
  <si>
    <r>
      <t>Ø</t>
    </r>
    <r>
      <rPr>
        <b/>
        <sz val="10"/>
        <color rgb="FF000080"/>
        <rFont val="Times New Roman"/>
        <family val="1"/>
      </rPr>
      <t xml:space="preserve">  </t>
    </r>
    <r>
      <rPr>
        <b/>
        <sz val="10"/>
        <color rgb="FF000080"/>
        <rFont val="Arial"/>
        <family val="2"/>
      </rPr>
      <t>Concerns on performance raised by customer's corporate division.</t>
    </r>
  </si>
  <si>
    <r>
      <t>Ø</t>
    </r>
    <r>
      <rPr>
        <b/>
        <sz val="10"/>
        <color rgb="FF000080"/>
        <rFont val="Times New Roman"/>
        <family val="1"/>
      </rPr>
      <t xml:space="preserve">  </t>
    </r>
    <r>
      <rPr>
        <b/>
        <sz val="10"/>
        <color rgb="FF000080"/>
        <rFont val="Arial"/>
        <family val="2"/>
      </rPr>
      <t>May have reduced level of secondary performance.</t>
    </r>
  </si>
  <si>
    <r>
      <t>Ø</t>
    </r>
    <r>
      <rPr>
        <b/>
        <sz val="10"/>
        <color rgb="FF000080"/>
        <rFont val="Times New Roman"/>
        <family val="1"/>
      </rPr>
      <t xml:space="preserve">  </t>
    </r>
    <r>
      <rPr>
        <b/>
        <sz val="10"/>
        <color rgb="FF000080"/>
        <rFont val="Arial"/>
        <family val="2"/>
      </rPr>
      <t>Milestones require to be adjusted.</t>
    </r>
  </si>
  <si>
    <r>
      <t>Ø</t>
    </r>
    <r>
      <rPr>
        <b/>
        <sz val="10"/>
        <color rgb="FF000080"/>
        <rFont val="Times New Roman"/>
        <family val="1"/>
      </rPr>
      <t xml:space="preserve">  </t>
    </r>
    <r>
      <rPr>
        <b/>
        <sz val="10"/>
        <color rgb="FF000080"/>
        <rFont val="Arial"/>
        <family val="2"/>
      </rPr>
      <t>Impact of not being awarded new contracts at a customer, plant and/or Business Group level.</t>
    </r>
  </si>
  <si>
    <r>
      <t>Ø</t>
    </r>
    <r>
      <rPr>
        <b/>
        <sz val="10"/>
        <color rgb="FF000080"/>
        <rFont val="Times New Roman"/>
        <family val="1"/>
      </rPr>
      <t xml:space="preserve">  </t>
    </r>
    <r>
      <rPr>
        <b/>
        <sz val="10"/>
        <color rgb="FF000080"/>
        <rFont val="Arial"/>
        <family val="2"/>
      </rPr>
      <t>Equipment failure over 24hrs.</t>
    </r>
  </si>
  <si>
    <r>
      <t>Ø</t>
    </r>
    <r>
      <rPr>
        <b/>
        <sz val="10"/>
        <color rgb="FF000080"/>
        <rFont val="Times New Roman"/>
        <family val="1"/>
      </rPr>
      <t xml:space="preserve">  </t>
    </r>
    <r>
      <rPr>
        <b/>
        <sz val="10"/>
        <color rgb="FF000080"/>
        <rFont val="Arial"/>
        <family val="2"/>
      </rPr>
      <t>Customer has issued a non-conformance or verbally expressed discontent.</t>
    </r>
  </si>
  <si>
    <r>
      <t>Ø</t>
    </r>
    <r>
      <rPr>
        <b/>
        <sz val="10"/>
        <color rgb="FF000080"/>
        <rFont val="Times New Roman"/>
        <family val="1"/>
      </rPr>
      <t xml:space="preserve">  </t>
    </r>
    <r>
      <rPr>
        <b/>
        <sz val="10"/>
        <color rgb="FF000080"/>
        <rFont val="Arial"/>
        <family val="2"/>
      </rPr>
      <t>Project deliverable(s) may have to be reworked, are late, up to 10% of budget.</t>
    </r>
  </si>
  <si>
    <r>
      <t>Ø</t>
    </r>
    <r>
      <rPr>
        <b/>
        <sz val="10"/>
        <color rgb="FF000080"/>
        <rFont val="Times New Roman"/>
        <family val="1"/>
      </rPr>
      <t xml:space="preserve">  </t>
    </r>
    <r>
      <rPr>
        <b/>
        <sz val="10"/>
        <color rgb="FF000080"/>
        <rFont val="Arial"/>
        <family val="2"/>
      </rPr>
      <t>Potential schedule milestone extended&lt;5%.</t>
    </r>
  </si>
  <si>
    <r>
      <t>Ø</t>
    </r>
    <r>
      <rPr>
        <b/>
        <sz val="10"/>
        <color rgb="FF000080"/>
        <rFont val="Times New Roman"/>
        <family val="1"/>
      </rPr>
      <t xml:space="preserve">  </t>
    </r>
    <r>
      <rPr>
        <b/>
        <sz val="10"/>
        <color rgb="FF000080"/>
        <rFont val="Arial"/>
        <family val="2"/>
      </rPr>
      <t>Customer impacted downtime between 5and 12 hrs.</t>
    </r>
  </si>
  <si>
    <r>
      <t>Ø</t>
    </r>
    <r>
      <rPr>
        <b/>
        <sz val="10"/>
        <color rgb="FF000080"/>
        <rFont val="Times New Roman"/>
        <family val="1"/>
      </rPr>
      <t xml:space="preserve">  </t>
    </r>
    <r>
      <rPr>
        <b/>
        <sz val="10"/>
        <color rgb="FF000080"/>
        <rFont val="Arial"/>
        <family val="2"/>
      </rPr>
      <t>Noticeable across departments.</t>
    </r>
  </si>
  <si>
    <r>
      <t>Ø</t>
    </r>
    <r>
      <rPr>
        <b/>
        <sz val="10"/>
        <color rgb="FF000080"/>
        <rFont val="Times New Roman"/>
        <family val="1"/>
      </rPr>
      <t xml:space="preserve">  </t>
    </r>
    <r>
      <rPr>
        <b/>
        <sz val="10"/>
        <color rgb="FF000080"/>
        <rFont val="Arial"/>
        <family val="2"/>
      </rPr>
      <t>Equipment failure 12-24 hrs.</t>
    </r>
  </si>
  <si>
    <r>
      <t>Ø</t>
    </r>
    <r>
      <rPr>
        <b/>
        <sz val="10"/>
        <color rgb="FF000080"/>
        <rFont val="Times New Roman"/>
        <family val="1"/>
      </rPr>
      <t xml:space="preserve">  </t>
    </r>
    <r>
      <rPr>
        <b/>
        <sz val="10"/>
        <color rgb="FF000080"/>
        <rFont val="Arial"/>
        <family val="2"/>
      </rPr>
      <t>Customer awareness of issues may exist, but there is little concern.</t>
    </r>
  </si>
  <si>
    <r>
      <t>Ø</t>
    </r>
    <r>
      <rPr>
        <b/>
        <sz val="10"/>
        <color rgb="FF000080"/>
        <rFont val="Times New Roman"/>
        <family val="1"/>
      </rPr>
      <t xml:space="preserve">  </t>
    </r>
    <r>
      <rPr>
        <b/>
        <sz val="10"/>
        <color rgb="FF000080"/>
        <rFont val="Arial"/>
        <family val="2"/>
      </rPr>
      <t>A portion of the deliverable(s) may have to be reworked, are late, or above cost.</t>
    </r>
  </si>
  <si>
    <r>
      <t>Ø</t>
    </r>
    <r>
      <rPr>
        <b/>
        <sz val="10"/>
        <color rgb="FF000080"/>
        <rFont val="Times New Roman"/>
        <family val="1"/>
      </rPr>
      <t xml:space="preserve">  </t>
    </r>
    <r>
      <rPr>
        <b/>
        <sz val="10"/>
        <color rgb="FF000080"/>
        <rFont val="Arial"/>
        <family val="2"/>
      </rPr>
      <t>Potential minor project schedule milestone extended within scheduled contingency.</t>
    </r>
  </si>
  <si>
    <r>
      <t>Ø</t>
    </r>
    <r>
      <rPr>
        <b/>
        <sz val="10"/>
        <color rgb="FF000080"/>
        <rFont val="Times New Roman"/>
        <family val="1"/>
      </rPr>
      <t xml:space="preserve">  </t>
    </r>
    <r>
      <rPr>
        <b/>
        <sz val="10"/>
        <color rgb="FF000080"/>
        <rFont val="Arial"/>
        <family val="2"/>
      </rPr>
      <t>Issues resolved promptly through management processes.</t>
    </r>
  </si>
  <si>
    <r>
      <t>Ø</t>
    </r>
    <r>
      <rPr>
        <b/>
        <sz val="10"/>
        <color rgb="FF000080"/>
        <rFont val="Times New Roman"/>
        <family val="1"/>
      </rPr>
      <t xml:space="preserve">  </t>
    </r>
    <r>
      <rPr>
        <b/>
        <sz val="10"/>
        <color rgb="FF000080"/>
        <rFont val="Arial"/>
        <family val="2"/>
      </rPr>
      <t>Equipment failure 5-12hrs.</t>
    </r>
  </si>
  <si>
    <t>Minimum Notification Requirements</t>
  </si>
  <si>
    <t xml:space="preserve">Notification Method </t>
  </si>
  <si>
    <t>CEO/COO/Legal</t>
  </si>
  <si>
    <t>5 | 4</t>
  </si>
  <si>
    <t xml:space="preserve">SVP/VP </t>
  </si>
  <si>
    <t>5 | 4 | 3</t>
  </si>
  <si>
    <t>General Manager / Quality Director / Global Account Director / Country Manager / Quality Supervisor / Quality Manager / Operations Manager / Project Manager/ Quality Engineer / Project Engineer / Logistics Coordinator</t>
  </si>
  <si>
    <t xml:space="preserve">Email </t>
  </si>
  <si>
    <t>Document Number</t>
  </si>
  <si>
    <t>[Associated Number]</t>
  </si>
  <si>
    <t>Revision</t>
  </si>
  <si>
    <t>A</t>
  </si>
  <si>
    <t>Risk Register &amp; RAM for AI Systems</t>
  </si>
  <si>
    <t>Document Owner</t>
  </si>
  <si>
    <t>AI Governance</t>
  </si>
  <si>
    <t>Revision History</t>
  </si>
  <si>
    <t>Prepared by</t>
  </si>
  <si>
    <t>Reviewed by</t>
  </si>
  <si>
    <t>Approved by</t>
  </si>
  <si>
    <t>Date Approved</t>
  </si>
  <si>
    <t>&lt;&lt;MM/DD/YYYY&gt;&gt;</t>
  </si>
  <si>
    <t>Revision Details</t>
  </si>
  <si>
    <t>Change Details</t>
  </si>
  <si>
    <t>Purpose</t>
  </si>
  <si>
    <t>AI Risk Subcategories</t>
  </si>
  <si>
    <t>Description</t>
  </si>
  <si>
    <t>Access &amp; Endpoint Risk</t>
  </si>
  <si>
    <t>Risk that uncontrolled AI endpoints, tools, or interfaces enable data leakage, unauthorized use, or inconsistent controls. Includes lack of centralized AI access, routing, and policy enforcement mechanisms.</t>
  </si>
  <si>
    <t>Audit &amp; Assurance Risk</t>
  </si>
  <si>
    <t>Risk that AI systems cannot be adequately audited due to missing documentation, metadata, logs, or decision traceability. Impairs internal assurance and readiness for external audit or regulator inquiry.</t>
  </si>
  <si>
    <t>Data Risk</t>
  </si>
  <si>
    <t>Risk arising from poor data quality, inappropriate data use, oversharing, or exposure of sensitive, proprietary, or regulated data. Includes lineage gaps, consent violations, and inadequate data classification or access controls.</t>
  </si>
  <si>
    <t>Ethical Risk</t>
  </si>
  <si>
    <t>Risk that AI systems produce unfair, biased, opaque, or non‑explainable outcomes that conflict with Responsible AI principles. Includes discrimination, lack of transparency, and erosion of human accountability.</t>
  </si>
  <si>
    <t>Human Oversight &amp; Misuse Risk</t>
  </si>
  <si>
    <t>Risk that humans over‑rely on AI outputs, misuse tools outside approved scope, or bypass controls. Includes automation bias, insufficient [human] training, and lack of clearly defined human‑in‑the‑loop responsibilities.</t>
  </si>
  <si>
    <t>Legal &amp; Compliance Risk</t>
  </si>
  <si>
    <t>Risk that AI use violates laws, regulations, contracts, export controls, or internal standards across jurisdictions. Includes privacy, IP, licensing, government-use restrictions, and misalignment with ISO, IMS, or regulatory obligations.</t>
  </si>
  <si>
    <t>Model Risk</t>
  </si>
  <si>
    <t>Risk that an AI model is inaccurate, unstable, poorly validated, or unsuitable for its intended use. Includes training data quality issues, concept drift, overfitting, and lack of documented assumptions or limitations.</t>
  </si>
  <si>
    <t>Operational Risk [Operation of the AI Product]</t>
  </si>
  <si>
    <t>Risk that AI systems fail to perform reliably in production due to inadequate monitoring, change (control) management, incident response, or dependency management. Includes weak ownership, unclear escalation paths, and lack of lifecycle controls.</t>
  </si>
  <si>
    <t>Regulatory Change Risk</t>
  </si>
  <si>
    <t>Risk that (1) AI technology evolution outpaces existing regulatory guidance and enterprise governance capabilities, and (2) that AI regulations outpace the enterprise’s controls, processes, and tooling. This misalignment can create compliance gaps, inconsistent deployment, delayed adoption, or forced rework. Mitigate through continuous regulatory horizon scanning, governance‑by‑design, adaptable control frameworks, and traceable impact assessments that evolve with both technology and regulation.</t>
  </si>
  <si>
    <t>Reputational Risk</t>
  </si>
  <si>
    <t>Risk that AI failures, misuse, or perceived irresponsibility erode trust with customers, regulators, employees, or partners. Often amplified by public incidents, lack of transparency, or poor incident response.</t>
  </si>
  <si>
    <t>Safety &amp; Security Risk</t>
  </si>
  <si>
    <t>Risk that AI contributes to physical harm, unsafe operational decisions, cyber compromise, or data breaches. Includes model exploitation, prompt injection, insecure integrations, and unsafe human‑AI interaction in operational contexts.</t>
  </si>
  <si>
    <t>Third‑Party / Supply Chain Risk</t>
  </si>
  <si>
    <t>Risk introduced by external AI vendors, models, APIs, or data sources. Includes opaque vendor practices, licensing uncertainty, security weaknesses, and limited audit or exit rights.</t>
  </si>
  <si>
    <t>AI Sub-category</t>
  </si>
  <si>
    <t>Use Case</t>
  </si>
  <si>
    <t>Other</t>
  </si>
  <si>
    <t>Risk that is not defined in this list. Describe in comment column.</t>
  </si>
  <si>
    <t>Comments</t>
  </si>
  <si>
    <t>Risk Register for AI Systems</t>
  </si>
  <si>
    <t>Clint Coker</t>
  </si>
  <si>
    <t>Sean McCall</t>
  </si>
  <si>
    <t>Maria O'Neill</t>
  </si>
  <si>
    <t>Operational Risk</t>
  </si>
  <si>
    <t>Third-Party / Supply Chain Risk</t>
  </si>
  <si>
    <t>Other Risk</t>
  </si>
  <si>
    <t>Semantic Smart Search</t>
  </si>
  <si>
    <t>Quote Extraction</t>
  </si>
  <si>
    <t>Scoping Analysis</t>
  </si>
  <si>
    <t>Because of search access inheritance across bid records, there is a potential for users to retrieve projects outside their role which could result in client data exposure.</t>
  </si>
  <si>
    <t>Because of quote files stored in shared workspaces, there is a potential for extracted vendor pricing to be accessed by non-project users which could result in margin leakage.</t>
  </si>
  <si>
    <t>Because of limited logging of AI scope suggestions, there is a potential for teams to lose traceability from recommendation to decision which could result in audit gaps.</t>
  </si>
  <si>
    <t>Because of automated quote extraction without version tracking, there is a potential for teams to rely on stale extracted values which could result in bid errors.</t>
  </si>
  <si>
    <t>Because of inconsistent quote formats and scanned PDFs, there is a potential for line items, exclusions, or prices to be extracted incorrectly which could result in underpriced bids.</t>
  </si>
  <si>
    <t>Because of bid history containing obsolete suppliers and terms, there is a potential for search results to surface outdated practices which could result in poor bid assumptions.</t>
  </si>
  <si>
    <t>Because of past bid data reflecting supplier preferences, there is a potential for scope recommendations to favor repeat vendors which could result in unfair supplier treatment.</t>
  </si>
  <si>
    <t>Because of uncurated lessons learned, there is a potential for users to reuse comments about suppliers without context which could result in biased supplier evaluation.</t>
  </si>
  <si>
    <t>Because of user reliance on extracted quote fields, there is a potential for reviewers to skip source validation which could result in missed exclusions or pricing errors.</t>
  </si>
  <si>
    <t>Because of vendor quotes containing confidentiality terms, there is a potential for extracted content to be stored or shared beyond permitted use which could result in contract violations.</t>
  </si>
  <si>
    <t>Because of search across project records with regulated customer data, there is a potential for users to retrieve controlled information which could result in compliance breach.</t>
  </si>
  <si>
    <t>Because of retrieval gaps across specifications and addenda, there is a potential for scope analysis to omit changed requirements which could result in change orders.</t>
  </si>
  <si>
    <t>Because of weak content governance, there is a potential for users to search duplicate or conflicting bid records which could result in slower decisions.</t>
  </si>
  <si>
    <t>Because of integration failures between SmartBid and estimating tools, there is a potential for extracted quote data to fail transfer which could result in bid delays.</t>
  </si>
  <si>
    <t>Because of changing data retention or privacy rules, there is a potential for extracted bid data to remain stored beyond allowed periods which could result in penalties.</t>
  </si>
  <si>
    <t>Because of changing procurement rules for supplier evaluation, there is a potential for AI-assisted analysis to miss requirements which could result in noncompliant bid records.</t>
  </si>
  <si>
    <t>Because of AI-generated scope errors in client bids, there is a potential for OII to submit incomplete proposals which could result in loss of client trust.</t>
  </si>
  <si>
    <t>Because of search results exposing old disputes or supplier comments, there is a potential for users to share unsupported claims which could result in supplier concerns.</t>
  </si>
  <si>
    <t>Because of missed safety requirements in specifications, there is a potential for scope analysis to exclude safety controls which could result in unsafe work planning.</t>
  </si>
  <si>
    <t>Because of indexed project files containing security details, there is a potential for users to retrieve site access or system information which could result in security exposure.</t>
  </si>
  <si>
    <t>Because of vendor-hosted AI processing, there is a potential for OII bid documents to be processed by third parties which could result in data exposure.</t>
  </si>
  <si>
    <t>Because of reliance on ConstructConnect platform availability, there is a potential for search and bid records to be unavailable which could result in bid delays.</t>
  </si>
  <si>
    <t>Because of poor user training on AI search limits, there is a potential for users to overtrust retrieved records which could result in weak bid decisions.</t>
  </si>
  <si>
    <t>Because of unclear ownership for AI-assisted bid outputs, there is a potential for accountability gaps when errors occur which could result in delayed corrective action.</t>
  </si>
  <si>
    <t>Threat</t>
  </si>
  <si>
    <t>Technical</t>
  </si>
  <si>
    <t>Commercial</t>
  </si>
  <si>
    <t>Operations</t>
  </si>
  <si>
    <t>Quality</t>
  </si>
  <si>
    <t>Legal</t>
  </si>
  <si>
    <t>Health &amp; Safety</t>
  </si>
  <si>
    <t>Health and Safety</t>
  </si>
  <si>
    <t>Mitigate</t>
  </si>
  <si>
    <t>Escalate</t>
  </si>
  <si>
    <t>Transfer</t>
  </si>
  <si>
    <t>Configure role-based access, project permissions, SSO, and periodic access reviews before production use.</t>
  </si>
  <si>
    <t>Limit workspaces by project team, restrict exports, and review access logs for quote and bid records.</t>
  </si>
  <si>
    <t>Require decision logs linking AI outputs, reviewer notes, bid changes, and approval evidence.</t>
  </si>
  <si>
    <t>Require source file version capture, extraction timestamp, reviewer approval, and exception logging for each quote.</t>
  </si>
  <si>
    <t>Require confidence thresholds, human review, sample testing, and comparison against source documents before bid submission.</t>
  </si>
  <si>
    <t>Review supplier selection criteria, monitor recommendation patterns, and require reviewer justification for vendor shortlists.</t>
  </si>
  <si>
    <t>Govern lessons learned entries, remove unsupported supplier comments, and require evidence for supplier performance notes.</t>
  </si>
  <si>
    <t>Require reviewer attestation, source document checks, and exception review before extracted values enter bid tables.</t>
  </si>
  <si>
    <t>Classify project data, enforce permissions, block restricted content from indexing, and monitor search activity.</t>
  </si>
  <si>
    <t>Test integrations, define fallback procedures, monitor sync errors, and assign support owners.</t>
  </si>
  <si>
    <t>Review retention rules each year, map stored fields, and automate deletion or archive workflows.</t>
  </si>
  <si>
    <t>Review procurement requirements, update scoring criteria, and require compliance review for affected bids.</t>
  </si>
  <si>
    <t>Require scope validation, peer review, and documented approval before proposal release.</t>
  </si>
  <si>
    <t>Restrict sensitive notes, require evidence tags, and train users on approved supplier communication.</t>
  </si>
  <si>
    <t>Require vendor security review, data processing terms, subprocessor disclosure, encryption, and breach notification commitments.</t>
  </si>
  <si>
    <t>Require SLA terms, support commitments, backup exports, and downtime procedures for active bids.</t>
  </si>
  <si>
    <t>Assign business owner, reviewer, approver, and escalation path for each AI-assisted bid workflow.</t>
  </si>
  <si>
    <t>Review</t>
  </si>
  <si>
    <t>Because of errors on tables, markups, and handwritten notes, there is a potential for extracted quote values to differ from source files which could result in bid loss.</t>
  </si>
  <si>
    <r>
      <t xml:space="preserve">Set retention rules, archive obsolete records, tag lessons learned, and require date filters in search results. </t>
    </r>
    <r>
      <rPr>
        <sz val="10"/>
        <color rgb="FFFF0000"/>
        <rFont val="Arial"/>
        <family val="2"/>
      </rPr>
      <t>Set quotation date categories with price contingency possibilites.</t>
    </r>
  </si>
  <si>
    <t>Because of AI scope prompts used as bid guidance, there is a potential for BID Engineers or Analysts to treat output as approved judgment which could result in scope omissions. The risk occurs when an estimator treats the AI output as a completed review rather than as a starting point for review.</t>
  </si>
  <si>
    <t>Require BID Engineer and Analyst ownership, approval steps, and checklist review for AI-generated scope analysis. Set Training for the Team to learn secure steps to use AI output.</t>
  </si>
  <si>
    <t>Review vendor terms, limit sharing, apply retention rules, and document approved use of quote data. Set Access Permissions to only BID Engineering Team and Commercial.</t>
  </si>
  <si>
    <r>
      <t xml:space="preserve">Test extraction with representative quotes, set accuracy thresholds, and route low-confidence fields to human review. </t>
    </r>
    <r>
      <rPr>
        <sz val="10"/>
        <color rgb="FFFF0000"/>
        <rFont val="Arial"/>
        <family val="2"/>
      </rPr>
      <t>Set human review and approval for every quote extraction.</t>
    </r>
  </si>
  <si>
    <t>Index addenda, compare versions, require source citations, and validate scope output against current bid package. Add to scope new requirements.</t>
  </si>
  <si>
    <r>
      <t>Define record ownership, naming rules, duplicate handling, and periodic cleanup for bid history.</t>
    </r>
    <r>
      <rPr>
        <sz val="10"/>
        <color rgb="FFFF0000"/>
        <rFont val="Arial"/>
        <family val="2"/>
      </rPr>
      <t xml:space="preserve"> View bid history, sorted by date (newest first). Ability to compare similar bids to check for similarities and differences in scope.</t>
    </r>
  </si>
  <si>
    <r>
      <t xml:space="preserve">Require safety review for scope outputs involving field work, lifting, pressure systems, or hazardous tasks. </t>
    </r>
    <r>
      <rPr>
        <sz val="10"/>
        <color rgb="FFFF0000"/>
        <rFont val="Arial"/>
        <family val="2"/>
      </rPr>
      <t>Index previous bids and recommendations so that AI are aware of safety equipment previously included for specific types of services.</t>
    </r>
  </si>
  <si>
    <r>
      <t xml:space="preserve">Exclude security files from indexing, apply labels, and monitor access to sensitive search results. </t>
    </r>
    <r>
      <rPr>
        <sz val="10"/>
        <color rgb="FFFF0000"/>
        <rFont val="Arial"/>
        <family val="2"/>
      </rPr>
      <t>Knowledge Base pages will have a dedicated access permissions.</t>
    </r>
  </si>
  <si>
    <r>
      <t xml:space="preserve">Train users on search limits, source validation, and when to escalate uncertain results. </t>
    </r>
    <r>
      <rPr>
        <sz val="10"/>
        <color rgb="FFFF0000"/>
        <rFont val="Arial"/>
        <family val="2"/>
      </rPr>
      <t>Add documented review and approval before proposal release.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</si>
</sst>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mm\-yyyy"/>
    <numFmt numFmtId="165" formatCode="mmm&quot; &quot;yyyy"/>
    <numFmt numFmtId="166" formatCode="[$-409]mmmm\-yy"/>
    <numFmt numFmtId="167" formatCode="&quot;$&quot;#,##0"/>
    <numFmt numFmtId="168" formatCode="[$-409]d\-mmm\-yyyy;@"/>
  </numFmts>
  <fonts count="68" x14ac:knownFonts="1">
    <font>
      <sz val="11"/>
      <color theme="1"/>
      <name val="Calibri"/>
      <family val="2"/>
      <scheme val="minor"/>
    </font>
    <font>
      <sz val="10"/>
      <color theme="1"/>
      <name val="Arial"/>
      <family val="2"/>
    </font>
    <font>
      <b/>
      <sz val="10"/>
      <color theme="1"/>
      <name val="Arial"/>
      <family val="2"/>
    </font>
    <font>
      <b/>
      <sz val="8"/>
      <color rgb="FF000000"/>
      <name val="Arial"/>
      <family val="2"/>
    </font>
    <font>
      <b/>
      <sz val="9"/>
      <color rgb="FF000000"/>
      <name val="Arial"/>
      <family val="2"/>
    </font>
    <font>
      <sz val="8"/>
      <color theme="1"/>
      <name val="Arial"/>
      <family val="2"/>
    </font>
    <font>
      <sz val="8"/>
      <color rgb="FF000000"/>
      <name val="Arial"/>
      <family val="2"/>
    </font>
    <font>
      <sz val="8"/>
      <name val="Arial"/>
      <family val="2"/>
    </font>
    <font>
      <sz val="9"/>
      <color theme="1"/>
      <name val="Arial"/>
      <family val="2"/>
    </font>
    <font>
      <i/>
      <sz val="9"/>
      <color rgb="FF000000"/>
      <name val="Arial"/>
      <family val="2"/>
    </font>
    <font>
      <b/>
      <sz val="12"/>
      <name val="Arial"/>
      <family val="2"/>
    </font>
    <font>
      <b/>
      <sz val="11"/>
      <name val="Arial"/>
      <family val="2"/>
    </font>
    <font>
      <sz val="10"/>
      <name val="Arial"/>
      <family val="2"/>
    </font>
    <font>
      <b/>
      <sz val="11"/>
      <color rgb="FF000000"/>
      <name val="Arial"/>
      <family val="2"/>
    </font>
    <font>
      <b/>
      <sz val="10"/>
      <name val="Arial"/>
      <family val="2"/>
    </font>
    <font>
      <sz val="9"/>
      <color theme="1"/>
      <name val="Calibri"/>
      <family val="2"/>
      <scheme val="minor"/>
    </font>
    <font>
      <b/>
      <sz val="11"/>
      <color theme="1"/>
      <name val="Calibri"/>
      <family val="2"/>
      <scheme val="minor"/>
    </font>
    <font>
      <sz val="10"/>
      <color theme="0"/>
      <name val="Arial"/>
      <family val="2"/>
    </font>
    <font>
      <b/>
      <sz val="10"/>
      <color theme="0"/>
      <name val="Arial"/>
      <family val="2"/>
    </font>
    <font>
      <sz val="10"/>
      <color theme="0"/>
      <name val="Wingdings"/>
      <charset val="2"/>
    </font>
    <font>
      <sz val="11"/>
      <name val="Times New Roman"/>
      <family val="1"/>
    </font>
    <font>
      <u/>
      <sz val="10"/>
      <color indexed="12"/>
      <name val="Arial"/>
      <family val="2"/>
    </font>
    <font>
      <u/>
      <sz val="10"/>
      <color theme="0"/>
      <name val="Arial"/>
      <family val="2"/>
    </font>
    <font>
      <b/>
      <sz val="9"/>
      <color rgb="FF000080"/>
      <name val="Arial"/>
      <family val="2"/>
    </font>
    <font>
      <sz val="9"/>
      <color rgb="FF000080"/>
      <name val="Arial"/>
      <family val="2"/>
    </font>
    <font>
      <b/>
      <sz val="10"/>
      <color rgb="FF000080"/>
      <name val="Wingdings"/>
      <charset val="2"/>
    </font>
    <font>
      <b/>
      <sz val="10"/>
      <color rgb="FF000080"/>
      <name val="Times New Roman"/>
      <family val="1"/>
    </font>
    <font>
      <b/>
      <sz val="10"/>
      <color rgb="FF000080"/>
      <name val="Arial"/>
      <family val="2"/>
    </font>
    <font>
      <b/>
      <sz val="10"/>
      <color theme="1"/>
      <name val="Calibri"/>
      <family val="2"/>
      <scheme val="minor"/>
    </font>
    <font>
      <b/>
      <sz val="12"/>
      <color rgb="FF000000"/>
      <name val="Arial"/>
      <family val="2"/>
    </font>
    <font>
      <b/>
      <sz val="12"/>
      <color rgb="FF000080"/>
      <name val="Arial"/>
      <family val="2"/>
    </font>
    <font>
      <b/>
      <sz val="12"/>
      <color theme="1"/>
      <name val="Calibri"/>
      <family val="2"/>
      <scheme val="minor"/>
    </font>
    <font>
      <sz val="10"/>
      <color rgb="FF000000"/>
      <name val="Arial"/>
      <family val="2"/>
    </font>
    <font>
      <b/>
      <sz val="10"/>
      <color rgb="FF000000"/>
      <name val="Arial"/>
      <family val="2"/>
    </font>
    <font>
      <sz val="11"/>
      <color rgb="FF000000"/>
      <name val="Calibri"/>
      <family val="2"/>
    </font>
    <font>
      <sz val="12"/>
      <color rgb="FF000000"/>
      <name val="Arial"/>
      <family val="2"/>
    </font>
    <font>
      <sz val="12"/>
      <color rgb="FF000000"/>
      <name val="Calibri"/>
      <family val="2"/>
    </font>
    <font>
      <sz val="10"/>
      <color rgb="FF000000"/>
      <name val="Calibri"/>
      <family val="2"/>
    </font>
    <font>
      <u/>
      <sz val="10"/>
      <color rgb="FF000000"/>
      <name val="Arial"/>
      <family val="2"/>
    </font>
    <font>
      <sz val="10"/>
      <name val="Calibri"/>
      <family val="2"/>
    </font>
    <font>
      <b/>
      <sz val="14"/>
      <name val="Arial"/>
      <family val="2"/>
    </font>
    <font>
      <b/>
      <sz val="16"/>
      <name val="Arial"/>
      <family val="2"/>
    </font>
    <font>
      <u/>
      <sz val="10"/>
      <name val="Arial"/>
      <family val="2"/>
    </font>
    <font>
      <sz val="18"/>
      <color theme="1"/>
      <name val="Arial"/>
      <family val="2"/>
    </font>
    <font>
      <b/>
      <sz val="6"/>
      <name val="Arial"/>
      <family val="2"/>
    </font>
    <font>
      <b/>
      <i/>
      <sz val="7"/>
      <name val="Arial"/>
      <family val="2"/>
    </font>
    <font>
      <b/>
      <sz val="10"/>
      <color rgb="FFFF0000"/>
      <name val="Arial"/>
      <family val="2"/>
    </font>
    <font>
      <b/>
      <vertAlign val="superscript"/>
      <sz val="10"/>
      <name val="Arial"/>
      <family val="2"/>
    </font>
    <font>
      <sz val="12"/>
      <name val="Arial"/>
      <family val="2"/>
    </font>
    <font>
      <b/>
      <i/>
      <sz val="10"/>
      <name val="Arial"/>
      <family val="2"/>
    </font>
    <font>
      <sz val="11"/>
      <name val="Arial"/>
      <family val="2"/>
    </font>
    <font>
      <b/>
      <sz val="36"/>
      <color rgb="FF003B5C"/>
      <name val="Arial"/>
      <family val="2"/>
    </font>
    <font>
      <b/>
      <sz val="11"/>
      <color rgb="FF003B5C"/>
      <name val="Calibri"/>
      <family val="2"/>
      <scheme val="minor"/>
    </font>
    <font>
      <b/>
      <sz val="16"/>
      <color rgb="FF808080"/>
      <name val="Arial"/>
      <family val="2"/>
    </font>
    <font>
      <b/>
      <sz val="14"/>
      <color rgb="FF003B5C"/>
      <name val="Arial"/>
      <family val="2"/>
    </font>
    <font>
      <i/>
      <sz val="11"/>
      <color rgb="FFFF0000"/>
      <name val="Calibri"/>
      <family val="2"/>
      <scheme val="minor"/>
    </font>
    <font>
      <sz val="10"/>
      <color rgb="FF003B5C"/>
      <name val="Arial"/>
      <family val="2"/>
    </font>
    <font>
      <sz val="10"/>
      <color rgb="FF000080"/>
      <name val="Arial"/>
      <family val="2"/>
    </font>
    <font>
      <b/>
      <sz val="16"/>
      <color theme="1"/>
      <name val="Calibri"/>
      <family val="2"/>
      <scheme val="minor"/>
    </font>
    <font>
      <sz val="10"/>
      <color theme="5" tint="-0.249977111117893"/>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sz val="9"/>
      <color indexed="81"/>
      <name val="Tahoma"/>
      <charset val="1"/>
    </font>
    <font>
      <b/>
      <sz val="9"/>
      <color indexed="81"/>
      <name val="Tahoma"/>
      <charset val="1"/>
    </font>
    <font>
      <sz val="10"/>
      <color rgb="FFFF0000"/>
      <name val="Arial"/>
      <family val="2"/>
    </font>
    <font>
      <sz val="9"/>
      <color indexed="81"/>
      <name val="Tahoma"/>
      <family val="2"/>
    </font>
    <font>
      <b/>
      <sz val="9"/>
      <color indexed="81"/>
      <name val="Tahoma"/>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5D9F1"/>
        <bgColor rgb="FF000000"/>
      </patternFill>
    </fill>
    <fill>
      <patternFill patternType="solid">
        <fgColor rgb="FF00B050"/>
        <bgColor rgb="FF000000"/>
      </patternFill>
    </fill>
    <fill>
      <patternFill patternType="solid">
        <fgColor rgb="FFFF0000"/>
        <bgColor rgb="FF000000"/>
      </patternFill>
    </fill>
    <fill>
      <patternFill patternType="gray125">
        <bgColor rgb="FFDFDFDF"/>
      </patternFill>
    </fill>
    <fill>
      <patternFill patternType="solid">
        <fgColor rgb="FFFF0000"/>
        <bgColor indexed="64"/>
      </patternFill>
    </fill>
    <fill>
      <patternFill patternType="solid">
        <fgColor rgb="FFF4CCCC"/>
        <bgColor indexed="64"/>
      </patternFill>
    </fill>
    <fill>
      <patternFill patternType="solid">
        <fgColor rgb="FFFF9900"/>
        <bgColor indexed="64"/>
      </patternFill>
    </fill>
    <fill>
      <patternFill patternType="solid">
        <fgColor rgb="FFFFD966"/>
        <bgColor indexed="64"/>
      </patternFill>
    </fill>
    <fill>
      <patternFill patternType="solid">
        <fgColor rgb="FFFFFF00"/>
        <bgColor indexed="64"/>
      </patternFill>
    </fill>
    <fill>
      <patternFill patternType="solid">
        <fgColor rgb="FFD9D9D9"/>
        <bgColor indexed="64"/>
      </patternFill>
    </fill>
    <fill>
      <patternFill patternType="gray125">
        <bgColor theme="0"/>
      </patternFill>
    </fill>
    <fill>
      <patternFill patternType="solid">
        <fgColor theme="4" tint="0.59999389629810485"/>
        <bgColor indexed="64"/>
      </patternFill>
    </fill>
    <fill>
      <patternFill patternType="solid">
        <fgColor theme="4" tint="0.59999389629810485"/>
        <bgColor rgb="FFA4C2F4"/>
      </patternFill>
    </fill>
    <fill>
      <patternFill patternType="solid">
        <fgColor theme="4" tint="0.59999389629810485"/>
        <bgColor rgb="FF000000"/>
      </patternFill>
    </fill>
    <fill>
      <patternFill patternType="solid">
        <fgColor theme="1"/>
        <bgColor rgb="FF000000"/>
      </patternFill>
    </fill>
    <fill>
      <patternFill patternType="solid">
        <fgColor rgb="FFFFFF00"/>
        <bgColor rgb="FF000000"/>
      </patternFill>
    </fill>
    <fill>
      <patternFill patternType="solid">
        <fgColor theme="0"/>
        <bgColor rgb="FFA4C2F4"/>
      </patternFill>
    </fill>
    <fill>
      <patternFill patternType="solid">
        <fgColor rgb="FFFFFFFF"/>
        <bgColor rgb="FFFFFFFF"/>
      </patternFill>
    </fill>
    <fill>
      <patternFill patternType="solid">
        <fgColor rgb="FFC6EFCE"/>
      </patternFill>
    </fill>
    <fill>
      <patternFill patternType="solid">
        <fgColor rgb="FFFFC7CE"/>
      </patternFill>
    </fill>
    <fill>
      <patternFill patternType="solid">
        <fgColor rgb="FFFFEB9C"/>
      </patternFill>
    </fill>
  </fills>
  <borders count="9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diagonal/>
    </border>
    <border>
      <left style="double">
        <color indexed="64"/>
      </left>
      <right/>
      <top style="double">
        <color indexed="64"/>
      </top>
      <bottom style="thin">
        <color indexed="64"/>
      </bottom>
      <diagonal/>
    </border>
    <border>
      <left/>
      <right style="double">
        <color indexed="64"/>
      </right>
      <top/>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bottom style="double">
        <color indexed="64"/>
      </bottom>
      <diagonal/>
    </border>
    <border>
      <left/>
      <right style="double">
        <color indexed="64"/>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theme="4" tint="0.39997558519241921"/>
      </top>
      <bottom style="thin">
        <color rgb="FF000000"/>
      </bottom>
      <diagonal/>
    </border>
    <border>
      <left style="thin">
        <color indexed="64"/>
      </left>
      <right/>
      <top style="thin">
        <color theme="4" tint="0.39997558519241921"/>
      </top>
      <bottom/>
      <diagonal/>
    </border>
    <border>
      <left style="thin">
        <color indexed="64"/>
      </left>
      <right/>
      <top style="thin">
        <color rgb="FF000000"/>
      </top>
      <bottom/>
      <diagonal/>
    </border>
    <border>
      <left/>
      <right/>
      <top style="thin">
        <color indexed="64"/>
      </top>
      <bottom style="thin">
        <color rgb="FF000000"/>
      </bottom>
      <diagonal/>
    </border>
    <border>
      <left/>
      <right style="thin">
        <color theme="4" tint="0.39997558519241921"/>
      </right>
      <top style="thin">
        <color indexed="64"/>
      </top>
      <bottom style="thin">
        <color rgb="FF000000"/>
      </bottom>
      <diagonal/>
    </border>
    <border>
      <left style="thin">
        <color auto="1"/>
      </left>
      <right/>
      <top style="thin">
        <color indexed="64"/>
      </top>
      <bottom style="thin">
        <color rgb="FF000000"/>
      </bottom>
      <diagonal/>
    </border>
    <border>
      <left/>
      <right/>
      <top/>
      <bottom style="thin">
        <color rgb="FF003B5C"/>
      </bottom>
      <diagonal/>
    </border>
    <border>
      <left style="medium">
        <color rgb="FF003B5C"/>
      </left>
      <right style="medium">
        <color rgb="FF003B5C"/>
      </right>
      <top style="medium">
        <color rgb="FF003B5C"/>
      </top>
      <bottom style="medium">
        <color rgb="FF003B5C"/>
      </bottom>
      <diagonal/>
    </border>
    <border>
      <left/>
      <right style="medium">
        <color rgb="FF003B5C"/>
      </right>
      <top style="medium">
        <color rgb="FF003B5C"/>
      </top>
      <bottom style="medium">
        <color rgb="FF003B5C"/>
      </bottom>
      <diagonal/>
    </border>
    <border>
      <left style="medium">
        <color rgb="FF003B5C"/>
      </left>
      <right style="medium">
        <color rgb="FF003B5C"/>
      </right>
      <top/>
      <bottom style="medium">
        <color rgb="FF003B5C"/>
      </bottom>
      <diagonal/>
    </border>
    <border>
      <left/>
      <right style="medium">
        <color rgb="FF003B5C"/>
      </right>
      <top/>
      <bottom style="medium">
        <color rgb="FF003B5C"/>
      </bottom>
      <diagonal/>
    </border>
    <border>
      <left style="medium">
        <color rgb="FF003B5C"/>
      </left>
      <right/>
      <top style="medium">
        <color rgb="FF003B5C"/>
      </top>
      <bottom style="medium">
        <color rgb="FF003B5C"/>
      </bottom>
      <diagonal/>
    </border>
    <border>
      <left/>
      <right/>
      <top style="medium">
        <color rgb="FF003B5C"/>
      </top>
      <bottom style="medium">
        <color rgb="FF003B5C"/>
      </bottom>
      <diagonal/>
    </border>
  </borders>
  <cellStyleXfs count="8">
    <xf numFmtId="0" fontId="0" fillId="0" borderId="0"/>
    <xf numFmtId="0" fontId="12" fillId="0" borderId="0"/>
    <xf numFmtId="0" fontId="21" fillId="0" borderId="0" applyNumberFormat="0" applyFill="0" applyBorder="0" applyAlignment="0" applyProtection="0">
      <alignment vertical="top"/>
      <protection locked="0"/>
    </xf>
    <xf numFmtId="0" fontId="34" fillId="0" borderId="0"/>
    <xf numFmtId="0" fontId="32" fillId="0" borderId="0"/>
    <xf numFmtId="0" fontId="60" fillId="23" borderId="0" applyNumberFormat="0" applyBorder="0" applyAlignment="0" applyProtection="0"/>
    <xf numFmtId="0" fontId="61" fillId="24" borderId="0" applyNumberFormat="0" applyBorder="0" applyAlignment="0" applyProtection="0"/>
    <xf numFmtId="0" fontId="62" fillId="25" borderId="0" applyNumberFormat="0" applyBorder="0" applyAlignment="0" applyProtection="0"/>
  </cellStyleXfs>
  <cellXfs count="339">
    <xf numFmtId="0" fontId="0" fillId="0" borderId="0" xfId="0"/>
    <xf numFmtId="0" fontId="1" fillId="0" borderId="0" xfId="0" applyFont="1" applyAlignment="1">
      <alignment wrapText="1"/>
    </xf>
    <xf numFmtId="0" fontId="1" fillId="0" borderId="0" xfId="0" applyFont="1" applyAlignment="1">
      <alignment vertical="center"/>
    </xf>
    <xf numFmtId="0" fontId="1" fillId="3" borderId="0" xfId="0" applyFont="1" applyFill="1" applyAlignment="1">
      <alignment wrapText="1"/>
    </xf>
    <xf numFmtId="0" fontId="1" fillId="3" borderId="0" xfId="0" applyFont="1" applyFill="1" applyAlignment="1">
      <alignment horizontal="left" wrapText="1"/>
    </xf>
    <xf numFmtId="0" fontId="5" fillId="0" borderId="12" xfId="0" applyFont="1" applyBorder="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2" fontId="5" fillId="0" borderId="1" xfId="0" applyNumberFormat="1" applyFont="1" applyBorder="1" applyAlignment="1">
      <alignment horizontal="center" vertical="top" wrapText="1"/>
    </xf>
    <xf numFmtId="0" fontId="5" fillId="0" borderId="1" xfId="0" applyFont="1" applyBorder="1" applyAlignment="1" applyProtection="1">
      <alignment horizontal="left" vertical="top" wrapText="1"/>
      <protection locked="0"/>
    </xf>
    <xf numFmtId="0" fontId="5" fillId="0" borderId="1" xfId="0" applyFont="1" applyBorder="1" applyAlignment="1" applyProtection="1">
      <alignment vertical="top" wrapText="1"/>
      <protection locked="0"/>
    </xf>
    <xf numFmtId="0" fontId="6" fillId="0" borderId="1" xfId="0" applyFont="1" applyBorder="1" applyAlignment="1" applyProtection="1">
      <alignment horizontal="left" vertical="top" wrapText="1"/>
      <protection locked="0"/>
    </xf>
    <xf numFmtId="0" fontId="7" fillId="0" borderId="1" xfId="0"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5" fillId="0" borderId="1" xfId="0" applyFont="1" applyBorder="1" applyAlignment="1" applyProtection="1">
      <alignment horizontal="center" vertical="top" wrapText="1"/>
      <protection locked="0"/>
    </xf>
    <xf numFmtId="2" fontId="5" fillId="0" borderId="1" xfId="0" applyNumberFormat="1" applyFont="1" applyBorder="1" applyAlignment="1" applyProtection="1">
      <alignment horizontal="center" vertical="top" wrapText="1"/>
      <protection locked="0"/>
    </xf>
    <xf numFmtId="0" fontId="5" fillId="0" borderId="0" xfId="0" applyFont="1" applyAlignment="1" applyProtection="1">
      <alignment horizontal="left" vertical="top" wrapText="1"/>
      <protection locked="0"/>
    </xf>
    <xf numFmtId="0" fontId="4" fillId="4" borderId="1" xfId="0" applyFont="1" applyFill="1" applyBorder="1" applyAlignment="1">
      <alignment horizontal="center"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2" fontId="1" fillId="3" borderId="0" xfId="0" applyNumberFormat="1" applyFont="1" applyFill="1" applyAlignment="1">
      <alignment vertical="center" wrapText="1"/>
    </xf>
    <xf numFmtId="0" fontId="1" fillId="0" borderId="0" xfId="0" applyFont="1" applyAlignment="1">
      <alignment vertical="center" wrapText="1"/>
    </xf>
    <xf numFmtId="0" fontId="1" fillId="0" borderId="0" xfId="0" applyFont="1" applyAlignment="1">
      <alignment horizontal="center" vertical="top" wrapText="1"/>
    </xf>
    <xf numFmtId="0" fontId="8" fillId="0" borderId="0" xfId="0" applyFont="1" applyAlignment="1">
      <alignment wrapText="1"/>
    </xf>
    <xf numFmtId="0" fontId="5" fillId="0" borderId="2" xfId="0" applyFont="1" applyBorder="1" applyAlignment="1">
      <alignment horizontal="center" vertical="top" wrapText="1"/>
    </xf>
    <xf numFmtId="0" fontId="5" fillId="0" borderId="0" xfId="0" applyFont="1" applyAlignment="1">
      <alignment vertical="top" wrapText="1"/>
    </xf>
    <xf numFmtId="0" fontId="5" fillId="0" borderId="2" xfId="0" applyFont="1" applyBorder="1" applyAlignment="1" applyProtection="1">
      <alignment horizontal="center" vertical="top" wrapText="1"/>
      <protection locked="0"/>
    </xf>
    <xf numFmtId="0" fontId="5" fillId="0" borderId="0" xfId="0" applyFont="1" applyAlignment="1" applyProtection="1">
      <alignment horizontal="center" vertical="top" wrapText="1"/>
      <protection locked="0"/>
    </xf>
    <xf numFmtId="0" fontId="5" fillId="0" borderId="0" xfId="0" applyFont="1" applyAlignment="1" applyProtection="1">
      <alignment vertical="top" wrapText="1"/>
      <protection locked="0"/>
    </xf>
    <xf numFmtId="0" fontId="12" fillId="0" borderId="0" xfId="1" applyAlignment="1">
      <alignment wrapText="1"/>
    </xf>
    <xf numFmtId="0" fontId="12" fillId="0" borderId="0" xfId="1"/>
    <xf numFmtId="0" fontId="12" fillId="0" borderId="0" xfId="1" applyAlignment="1">
      <alignment horizontal="center"/>
    </xf>
    <xf numFmtId="0" fontId="17" fillId="0" borderId="0" xfId="1" applyFont="1"/>
    <xf numFmtId="0" fontId="14" fillId="0" borderId="37" xfId="1" applyFont="1" applyBorder="1" applyAlignment="1">
      <alignment horizontal="right" wrapText="1"/>
    </xf>
    <xf numFmtId="164" fontId="12" fillId="0" borderId="36" xfId="1" applyNumberFormat="1" applyBorder="1" applyAlignment="1">
      <alignment horizontal="left"/>
    </xf>
    <xf numFmtId="0" fontId="12" fillId="0" borderId="39" xfId="1" applyBorder="1"/>
    <xf numFmtId="0" fontId="14" fillId="0" borderId="19" xfId="1" applyFont="1" applyBorder="1" applyAlignment="1">
      <alignment horizontal="right" wrapText="1"/>
    </xf>
    <xf numFmtId="0" fontId="12" fillId="0" borderId="21" xfId="1" applyBorder="1"/>
    <xf numFmtId="0" fontId="12" fillId="0" borderId="42" xfId="1" applyBorder="1"/>
    <xf numFmtId="0" fontId="14" fillId="0" borderId="19" xfId="1" applyFont="1" applyBorder="1" applyAlignment="1">
      <alignment horizontal="right" vertical="center" wrapText="1"/>
    </xf>
    <xf numFmtId="0" fontId="14" fillId="0" borderId="19" xfId="1" applyFont="1" applyBorder="1" applyAlignment="1">
      <alignment horizontal="right" vertical="top" wrapText="1"/>
    </xf>
    <xf numFmtId="0" fontId="12" fillId="0" borderId="21" xfId="1" applyBorder="1" applyAlignment="1">
      <alignment horizontal="left" vertical="top" wrapText="1"/>
    </xf>
    <xf numFmtId="0" fontId="12" fillId="0" borderId="42" xfId="1" applyBorder="1" applyAlignment="1">
      <alignment wrapText="1"/>
    </xf>
    <xf numFmtId="0" fontId="17" fillId="3" borderId="0" xfId="1" applyFont="1" applyFill="1"/>
    <xf numFmtId="0" fontId="14" fillId="0" borderId="29" xfId="1" applyFont="1" applyBorder="1" applyAlignment="1">
      <alignment horizontal="right" wrapText="1"/>
    </xf>
    <xf numFmtId="0" fontId="12" fillId="0" borderId="43" xfId="1" applyBorder="1"/>
    <xf numFmtId="0" fontId="12" fillId="0" borderId="44" xfId="1" applyBorder="1"/>
    <xf numFmtId="0" fontId="17" fillId="0" borderId="48" xfId="1" applyFont="1" applyBorder="1" applyAlignment="1">
      <alignment horizontal="center"/>
    </xf>
    <xf numFmtId="0" fontId="18" fillId="0" borderId="49" xfId="1" applyFont="1" applyBorder="1" applyAlignment="1">
      <alignment horizontal="right"/>
    </xf>
    <xf numFmtId="0" fontId="18" fillId="0" borderId="48" xfId="1" applyFont="1" applyBorder="1" applyAlignment="1">
      <alignment horizontal="center"/>
    </xf>
    <xf numFmtId="0" fontId="17" fillId="0" borderId="50" xfId="1" applyFont="1" applyBorder="1" applyAlignment="1">
      <alignment horizontal="center"/>
    </xf>
    <xf numFmtId="0" fontId="14" fillId="0" borderId="31" xfId="1" applyFont="1" applyBorder="1"/>
    <xf numFmtId="0" fontId="14" fillId="0" borderId="32" xfId="1" applyFont="1" applyBorder="1" applyAlignment="1">
      <alignment wrapText="1"/>
    </xf>
    <xf numFmtId="0" fontId="14" fillId="0" borderId="32" xfId="1" applyFont="1" applyBorder="1" applyAlignment="1">
      <alignment horizontal="center"/>
    </xf>
    <xf numFmtId="0" fontId="14" fillId="0" borderId="33" xfId="1" applyFont="1" applyBorder="1" applyAlignment="1">
      <alignment horizontal="center"/>
    </xf>
    <xf numFmtId="0" fontId="18" fillId="0" borderId="51" xfId="1" applyFont="1" applyBorder="1" applyAlignment="1">
      <alignment horizontal="center"/>
    </xf>
    <xf numFmtId="0" fontId="19" fillId="0" borderId="52" xfId="1" applyFont="1" applyBorder="1" applyAlignment="1">
      <alignment horizontal="center"/>
    </xf>
    <xf numFmtId="0" fontId="19" fillId="0" borderId="53" xfId="1" applyFont="1" applyBorder="1" applyAlignment="1">
      <alignment horizontal="center"/>
    </xf>
    <xf numFmtId="0" fontId="12" fillId="0" borderId="17" xfId="1" applyBorder="1" applyAlignment="1">
      <alignment horizontal="center"/>
    </xf>
    <xf numFmtId="0" fontId="20" fillId="0" borderId="2" xfId="0" applyFont="1" applyBorder="1" applyAlignment="1">
      <alignment horizontal="center" vertical="center" wrapText="1"/>
    </xf>
    <xf numFmtId="0" fontId="20" fillId="0" borderId="2" xfId="0" applyFont="1" applyBorder="1" applyAlignment="1">
      <alignment horizontal="center" vertical="center"/>
    </xf>
    <xf numFmtId="0" fontId="20" fillId="0" borderId="18" xfId="0" applyFont="1" applyBorder="1" applyAlignment="1">
      <alignment horizontal="center" vertical="center" wrapText="1"/>
    </xf>
    <xf numFmtId="0" fontId="17" fillId="0" borderId="25" xfId="1" applyFont="1" applyBorder="1" applyAlignment="1">
      <alignment horizontal="center"/>
    </xf>
    <xf numFmtId="0" fontId="22" fillId="0" borderId="54" xfId="2" applyFont="1" applyBorder="1" applyAlignment="1" applyProtection="1"/>
    <xf numFmtId="0" fontId="19" fillId="0" borderId="55" xfId="1" applyFont="1" applyBorder="1" applyAlignment="1">
      <alignment horizontal="center"/>
    </xf>
    <xf numFmtId="0" fontId="17" fillId="0" borderId="2" xfId="1" applyFont="1" applyBorder="1" applyAlignment="1">
      <alignment horizontal="center"/>
    </xf>
    <xf numFmtId="0" fontId="22" fillId="0" borderId="2" xfId="2" applyFont="1" applyFill="1" applyBorder="1" applyAlignment="1" applyProtection="1"/>
    <xf numFmtId="0" fontId="22" fillId="0" borderId="2" xfId="2" applyFont="1" applyBorder="1" applyAlignment="1" applyProtection="1"/>
    <xf numFmtId="0" fontId="22" fillId="0" borderId="0" xfId="2" applyFont="1" applyFill="1" applyBorder="1" applyAlignment="1" applyProtection="1"/>
    <xf numFmtId="0" fontId="17" fillId="0" borderId="2" xfId="2" applyFont="1" applyBorder="1" applyAlignment="1" applyProtection="1">
      <alignment horizontal="center"/>
    </xf>
    <xf numFmtId="0" fontId="17" fillId="0" borderId="12" xfId="1" applyFont="1" applyBorder="1" applyAlignment="1">
      <alignment horizontal="center"/>
    </xf>
    <xf numFmtId="0" fontId="17" fillId="0" borderId="56" xfId="1" applyFont="1" applyBorder="1" applyAlignment="1">
      <alignment horizontal="center"/>
    </xf>
    <xf numFmtId="0" fontId="22" fillId="0" borderId="56" xfId="2" applyFont="1" applyFill="1" applyBorder="1" applyAlignment="1" applyProtection="1"/>
    <xf numFmtId="0" fontId="19" fillId="0" borderId="57" xfId="1" applyFont="1" applyBorder="1" applyAlignment="1">
      <alignment horizontal="center"/>
    </xf>
    <xf numFmtId="0" fontId="17" fillId="0" borderId="0" xfId="1" applyFont="1" applyAlignment="1">
      <alignment horizontal="center"/>
    </xf>
    <xf numFmtId="0" fontId="12" fillId="0" borderId="38" xfId="1" applyBorder="1" applyAlignment="1">
      <alignment horizontal="center"/>
    </xf>
    <xf numFmtId="0" fontId="11" fillId="0" borderId="0" xfId="1" applyFont="1" applyAlignment="1">
      <alignment wrapText="1"/>
    </xf>
    <xf numFmtId="0" fontId="24" fillId="0" borderId="0" xfId="0" applyFont="1" applyAlignment="1">
      <alignment vertical="center" wrapText="1"/>
    </xf>
    <xf numFmtId="0" fontId="15" fillId="0" borderId="0" xfId="0" applyFont="1" applyAlignment="1">
      <alignment vertical="justify"/>
    </xf>
    <xf numFmtId="0" fontId="24" fillId="0" borderId="0" xfId="0" applyFont="1" applyAlignment="1">
      <alignment vertical="justify" wrapText="1"/>
    </xf>
    <xf numFmtId="0" fontId="8" fillId="0" borderId="0" xfId="0" applyFont="1" applyAlignment="1">
      <alignment horizontal="justify" vertical="justify"/>
    </xf>
    <xf numFmtId="0" fontId="25" fillId="0" borderId="0" xfId="0" applyFont="1" applyAlignment="1">
      <alignment horizontal="left" vertical="justify" wrapText="1"/>
    </xf>
    <xf numFmtId="0" fontId="15" fillId="0" borderId="0" xfId="0" applyFont="1" applyAlignment="1">
      <alignment vertical="center"/>
    </xf>
    <xf numFmtId="0" fontId="28" fillId="0" borderId="61" xfId="0" applyFont="1" applyBorder="1" applyAlignment="1">
      <alignment vertical="center" wrapText="1"/>
    </xf>
    <xf numFmtId="0" fontId="13" fillId="15" borderId="70" xfId="0" applyFont="1" applyFill="1" applyBorder="1" applyAlignment="1">
      <alignment horizontal="center" vertical="justify" textRotation="90" wrapText="1"/>
    </xf>
    <xf numFmtId="0" fontId="13" fillId="3" borderId="0" xfId="0" applyFont="1" applyFill="1" applyAlignment="1">
      <alignment horizontal="center" vertical="center" wrapText="1"/>
    </xf>
    <xf numFmtId="0" fontId="27" fillId="0" borderId="0" xfId="0" applyFont="1" applyAlignment="1">
      <alignment horizontal="center" vertical="center" wrapText="1"/>
    </xf>
    <xf numFmtId="0" fontId="31" fillId="2" borderId="33" xfId="0" applyFont="1" applyFill="1" applyBorder="1" applyAlignment="1">
      <alignment horizontal="center" vertical="center"/>
    </xf>
    <xf numFmtId="0" fontId="31" fillId="0" borderId="18" xfId="0" applyFont="1" applyBorder="1" applyAlignment="1">
      <alignment horizontal="center" vertical="center"/>
    </xf>
    <xf numFmtId="0" fontId="31" fillId="0" borderId="35" xfId="0" applyFont="1" applyBorder="1" applyAlignment="1">
      <alignment horizontal="center" vertical="center"/>
    </xf>
    <xf numFmtId="0" fontId="1" fillId="0" borderId="0" xfId="0" applyFont="1" applyAlignment="1">
      <alignment horizontal="centerContinuous" vertical="center"/>
    </xf>
    <xf numFmtId="0" fontId="14" fillId="5" borderId="2" xfId="0" applyFont="1" applyFill="1" applyBorder="1" applyAlignment="1">
      <alignment horizontal="centerContinuous" vertical="center"/>
    </xf>
    <xf numFmtId="0" fontId="14" fillId="18" borderId="2" xfId="0" applyFont="1" applyFill="1" applyBorder="1" applyAlignment="1">
      <alignment horizontal="center" vertical="center"/>
    </xf>
    <xf numFmtId="0" fontId="14" fillId="19" borderId="2" xfId="0" applyFont="1" applyFill="1" applyBorder="1" applyAlignment="1">
      <alignment horizontal="center" vertical="center"/>
    </xf>
    <xf numFmtId="0" fontId="14" fillId="18" borderId="13" xfId="0" applyFont="1" applyFill="1" applyBorder="1" applyAlignment="1">
      <alignment horizontal="center" vertical="center"/>
    </xf>
    <xf numFmtId="0" fontId="14" fillId="18" borderId="13" xfId="0" applyFont="1" applyFill="1" applyBorder="1" applyAlignment="1">
      <alignment horizontal="center" vertical="center" wrapText="1"/>
    </xf>
    <xf numFmtId="0" fontId="1" fillId="0" borderId="0" xfId="0" applyFont="1" applyAlignment="1">
      <alignment horizontal="left" vertical="center"/>
    </xf>
    <xf numFmtId="0" fontId="14" fillId="16" borderId="24" xfId="0" applyFont="1" applyFill="1" applyBorder="1" applyAlignment="1">
      <alignment horizontal="center" vertical="center" wrapText="1"/>
    </xf>
    <xf numFmtId="0" fontId="12" fillId="20" borderId="2" xfId="0" applyFont="1" applyFill="1" applyBorder="1" applyAlignment="1">
      <alignment horizontal="center" vertical="center"/>
    </xf>
    <xf numFmtId="0" fontId="12" fillId="7" borderId="2" xfId="0" applyFont="1" applyFill="1" applyBorder="1" applyAlignment="1">
      <alignment horizontal="center" vertical="center"/>
    </xf>
    <xf numFmtId="0" fontId="12" fillId="6" borderId="2" xfId="0" applyFont="1" applyFill="1" applyBorder="1" applyAlignment="1">
      <alignment horizontal="center" vertical="center" wrapText="1"/>
    </xf>
    <xf numFmtId="0" fontId="14" fillId="16"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43" fillId="0" borderId="0" xfId="0" applyFont="1" applyAlignment="1">
      <alignment vertical="center"/>
    </xf>
    <xf numFmtId="0" fontId="32" fillId="0" borderId="74" xfId="3" applyFont="1" applyBorder="1" applyAlignment="1" applyProtection="1">
      <alignment horizontal="center" vertical="center" wrapText="1"/>
      <protection locked="0"/>
    </xf>
    <xf numFmtId="0" fontId="32" fillId="0" borderId="75" xfId="3" applyFont="1" applyBorder="1" applyAlignment="1" applyProtection="1">
      <alignment horizontal="center" vertical="center" wrapText="1"/>
      <protection locked="0"/>
    </xf>
    <xf numFmtId="0" fontId="32" fillId="0" borderId="75" xfId="3" applyFont="1" applyBorder="1" applyAlignment="1" applyProtection="1">
      <alignment horizontal="left" vertical="center" wrapText="1"/>
      <protection locked="0"/>
    </xf>
    <xf numFmtId="165" fontId="32" fillId="0" borderId="75" xfId="3" applyNumberFormat="1" applyFont="1" applyBorder="1" applyAlignment="1" applyProtection="1">
      <alignment horizontal="left" vertical="center" wrapText="1"/>
      <protection locked="0"/>
    </xf>
    <xf numFmtId="0" fontId="12" fillId="0" borderId="2" xfId="0" applyFont="1" applyBorder="1" applyAlignment="1">
      <alignment horizontal="left" vertical="center" wrapText="1"/>
    </xf>
    <xf numFmtId="0" fontId="12" fillId="3" borderId="2" xfId="0" applyFont="1" applyFill="1" applyBorder="1" applyAlignment="1">
      <alignment horizontal="left" vertical="center" wrapText="1"/>
    </xf>
    <xf numFmtId="0" fontId="14" fillId="6" borderId="2" xfId="0" applyFont="1" applyFill="1" applyBorder="1" applyAlignment="1">
      <alignment horizontal="center" vertical="center" wrapText="1"/>
    </xf>
    <xf numFmtId="0" fontId="2" fillId="3" borderId="0" xfId="0" applyFont="1" applyFill="1" applyAlignment="1">
      <alignment vertical="center"/>
    </xf>
    <xf numFmtId="0" fontId="14" fillId="3" borderId="0" xfId="0" applyFont="1" applyFill="1" applyAlignment="1">
      <alignment horizontal="center" vertical="center"/>
    </xf>
    <xf numFmtId="0" fontId="1" fillId="3" borderId="0" xfId="0" applyFont="1" applyFill="1" applyAlignment="1">
      <alignment vertical="center"/>
    </xf>
    <xf numFmtId="0" fontId="12" fillId="3" borderId="0" xfId="0" applyFont="1" applyFill="1" applyAlignment="1">
      <alignment horizontal="centerContinuous" vertical="center"/>
    </xf>
    <xf numFmtId="0" fontId="1" fillId="3" borderId="0" xfId="0" applyFont="1" applyFill="1" applyAlignment="1">
      <alignment horizontal="centerContinuous" vertical="center"/>
    </xf>
    <xf numFmtId="0" fontId="4" fillId="4" borderId="8" xfId="0" applyFont="1" applyFill="1" applyBorder="1" applyAlignment="1">
      <alignment horizontal="center" vertical="center" wrapText="1"/>
    </xf>
    <xf numFmtId="0" fontId="2" fillId="3" borderId="0" xfId="0" applyFont="1" applyFill="1" applyAlignment="1">
      <alignment horizontal="right" vertical="center" wrapText="1"/>
    </xf>
    <xf numFmtId="0" fontId="1" fillId="0" borderId="2" xfId="0" applyFont="1" applyBorder="1" applyAlignment="1">
      <alignment horizontal="left" vertical="center" wrapText="1"/>
    </xf>
    <xf numFmtId="0" fontId="13" fillId="8" borderId="59" xfId="0" applyFont="1" applyFill="1" applyBorder="1" applyAlignment="1">
      <alignment horizontal="center"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1" fillId="3" borderId="0" xfId="0" applyFont="1" applyFill="1" applyAlignment="1">
      <alignment horizontal="center" vertical="center"/>
    </xf>
    <xf numFmtId="0" fontId="1" fillId="3" borderId="0" xfId="0" applyFont="1" applyFill="1" applyAlignment="1">
      <alignment horizontal="left" vertical="center"/>
    </xf>
    <xf numFmtId="0" fontId="46" fillId="3" borderId="0" xfId="0" applyFont="1" applyFill="1" applyAlignment="1">
      <alignment horizontal="right" vertical="center"/>
    </xf>
    <xf numFmtId="0" fontId="0" fillId="3" borderId="0" xfId="0" applyFill="1"/>
    <xf numFmtId="0" fontId="12" fillId="0" borderId="2" xfId="3" applyFont="1" applyBorder="1" applyAlignment="1" applyProtection="1">
      <alignment horizontal="center" vertical="center" wrapText="1"/>
      <protection locked="0"/>
    </xf>
    <xf numFmtId="0" fontId="12" fillId="0" borderId="2" xfId="3" applyFont="1" applyBorder="1" applyAlignment="1" applyProtection="1">
      <alignment horizontal="center" vertical="center"/>
      <protection locked="0"/>
    </xf>
    <xf numFmtId="166" fontId="12" fillId="22" borderId="2" xfId="0" applyNumberFormat="1" applyFont="1" applyFill="1" applyBorder="1" applyAlignment="1" applyProtection="1">
      <alignment horizontal="center" vertical="center" wrapText="1"/>
      <protection locked="0"/>
    </xf>
    <xf numFmtId="0" fontId="37" fillId="0" borderId="2" xfId="3" applyFont="1" applyBorder="1" applyAlignment="1" applyProtection="1">
      <alignment vertical="center" wrapText="1"/>
      <protection locked="0"/>
    </xf>
    <xf numFmtId="0" fontId="14" fillId="18" borderId="25" xfId="0" applyFont="1" applyFill="1" applyBorder="1" applyAlignment="1">
      <alignment horizontal="center" vertical="center"/>
    </xf>
    <xf numFmtId="0" fontId="14" fillId="5" borderId="2" xfId="0" applyFont="1" applyFill="1" applyBorder="1" applyAlignment="1">
      <alignment horizontal="centerContinuous" vertical="center" wrapText="1"/>
    </xf>
    <xf numFmtId="0" fontId="14" fillId="6" borderId="25"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14" fillId="7" borderId="25" xfId="0" applyFont="1" applyFill="1" applyBorder="1" applyAlignment="1">
      <alignment horizontal="center" vertical="center" wrapText="1"/>
    </xf>
    <xf numFmtId="11" fontId="12" fillId="20" borderId="2" xfId="0" applyNumberFormat="1" applyFont="1" applyFill="1" applyBorder="1" applyAlignment="1">
      <alignment horizontal="center" vertical="center"/>
    </xf>
    <xf numFmtId="0" fontId="32" fillId="0" borderId="2" xfId="3" applyFont="1" applyBorder="1" applyAlignment="1" applyProtection="1">
      <alignment vertical="center" wrapText="1"/>
      <protection locked="0"/>
    </xf>
    <xf numFmtId="0" fontId="14" fillId="7" borderId="2" xfId="0" applyFont="1" applyFill="1" applyBorder="1" applyAlignment="1">
      <alignment horizontal="center" vertical="center" wrapText="1"/>
    </xf>
    <xf numFmtId="3" fontId="12" fillId="3" borderId="15" xfId="0" applyNumberFormat="1" applyFont="1" applyFill="1" applyBorder="1" applyAlignment="1" applyProtection="1">
      <alignment horizontal="right" vertical="center"/>
      <protection locked="0"/>
    </xf>
    <xf numFmtId="0" fontId="32" fillId="0" borderId="15" xfId="3" applyFont="1" applyBorder="1" applyAlignment="1" applyProtection="1">
      <alignment horizontal="center" vertical="center" wrapText="1"/>
      <protection locked="0"/>
    </xf>
    <xf numFmtId="3" fontId="12" fillId="3" borderId="24" xfId="0" applyNumberFormat="1" applyFont="1" applyFill="1" applyBorder="1" applyAlignment="1" applyProtection="1">
      <alignment horizontal="right" vertical="center"/>
      <protection locked="0"/>
    </xf>
    <xf numFmtId="0" fontId="32" fillId="0" borderId="80" xfId="3" applyFont="1" applyBorder="1" applyAlignment="1" applyProtection="1">
      <alignment horizontal="center" vertical="center" wrapText="1"/>
      <protection locked="0"/>
    </xf>
    <xf numFmtId="168" fontId="50" fillId="21" borderId="2" xfId="3" applyNumberFormat="1" applyFont="1" applyFill="1" applyBorder="1" applyAlignment="1" applyProtection="1">
      <alignment horizontal="center" vertical="center"/>
      <protection locked="0"/>
    </xf>
    <xf numFmtId="0" fontId="12" fillId="3" borderId="14" xfId="3" applyFont="1" applyFill="1" applyBorder="1" applyAlignment="1" applyProtection="1">
      <alignment horizontal="center" vertical="center"/>
      <protection locked="0"/>
    </xf>
    <xf numFmtId="0" fontId="0" fillId="0" borderId="0" xfId="0" applyAlignment="1">
      <alignment vertical="top"/>
    </xf>
    <xf numFmtId="0" fontId="51" fillId="0" borderId="0" xfId="0" applyFont="1" applyAlignment="1">
      <alignment horizontal="left" vertical="top"/>
    </xf>
    <xf numFmtId="0" fontId="52" fillId="0" borderId="84" xfId="0" applyFont="1" applyBorder="1" applyAlignment="1">
      <alignment horizontal="left" vertical="top"/>
    </xf>
    <xf numFmtId="0" fontId="53" fillId="0" borderId="0" xfId="0" applyFont="1" applyAlignment="1">
      <alignment horizontal="left" vertical="top"/>
    </xf>
    <xf numFmtId="0" fontId="54" fillId="0" borderId="0" xfId="0" applyFont="1" applyAlignment="1">
      <alignment vertical="center"/>
    </xf>
    <xf numFmtId="0" fontId="55" fillId="0" borderId="0" xfId="0" applyFont="1" applyAlignment="1">
      <alignment vertical="top"/>
    </xf>
    <xf numFmtId="0" fontId="56" fillId="14" borderId="85" xfId="0" applyFont="1" applyFill="1" applyBorder="1" applyAlignment="1">
      <alignment vertical="center" wrapText="1"/>
    </xf>
    <xf numFmtId="0" fontId="56" fillId="14" borderId="86" xfId="0" applyFont="1" applyFill="1" applyBorder="1" applyAlignment="1">
      <alignment vertical="center" wrapText="1"/>
    </xf>
    <xf numFmtId="0" fontId="57" fillId="0" borderId="87" xfId="0" applyFont="1" applyBorder="1" applyAlignment="1">
      <alignment vertical="center" wrapText="1"/>
    </xf>
    <xf numFmtId="0" fontId="57" fillId="0" borderId="88" xfId="0" applyFont="1" applyBorder="1" applyAlignment="1">
      <alignment vertical="center" wrapText="1"/>
    </xf>
    <xf numFmtId="0" fontId="57" fillId="0" borderId="0" xfId="0" applyFont="1" applyAlignment="1">
      <alignment vertical="center" wrapText="1"/>
    </xf>
    <xf numFmtId="0" fontId="58" fillId="0" borderId="0" xfId="0" applyFont="1"/>
    <xf numFmtId="0" fontId="49" fillId="16" borderId="83" xfId="3" applyFont="1" applyFill="1" applyBorder="1" applyAlignment="1">
      <alignment horizontal="left" vertical="center"/>
    </xf>
    <xf numFmtId="0" fontId="32" fillId="16" borderId="81" xfId="3" applyFont="1" applyFill="1" applyBorder="1" applyAlignment="1">
      <alignment horizontal="center" vertical="center" wrapText="1"/>
    </xf>
    <xf numFmtId="0" fontId="32" fillId="16" borderId="81" xfId="3" applyFont="1" applyFill="1" applyBorder="1" applyAlignment="1">
      <alignment horizontal="left" vertical="center" wrapText="1"/>
    </xf>
    <xf numFmtId="167" fontId="32" fillId="16" borderId="81" xfId="3" applyNumberFormat="1" applyFont="1" applyFill="1" applyBorder="1" applyAlignment="1">
      <alignment horizontal="right" vertical="center" wrapText="1"/>
    </xf>
    <xf numFmtId="165" fontId="32" fillId="16" borderId="81" xfId="3" applyNumberFormat="1" applyFont="1" applyFill="1" applyBorder="1" applyAlignment="1">
      <alignment horizontal="left" vertical="center" wrapText="1"/>
    </xf>
    <xf numFmtId="49" fontId="18" fillId="16" borderId="78" xfId="3" applyNumberFormat="1" applyFont="1" applyFill="1" applyBorder="1" applyAlignment="1">
      <alignment vertical="top" textRotation="180" wrapText="1"/>
    </xf>
    <xf numFmtId="167" fontId="32" fillId="16" borderId="82" xfId="3" applyNumberFormat="1" applyFont="1" applyFill="1" applyBorder="1" applyAlignment="1">
      <alignment horizontal="right" vertical="center" wrapText="1"/>
    </xf>
    <xf numFmtId="0" fontId="34" fillId="16" borderId="3" xfId="3" applyFill="1" applyBorder="1" applyAlignment="1">
      <alignment vertical="center"/>
    </xf>
    <xf numFmtId="0" fontId="34" fillId="16" borderId="3" xfId="3" applyFill="1" applyBorder="1" applyAlignment="1">
      <alignment vertical="center" wrapText="1"/>
    </xf>
    <xf numFmtId="0" fontId="34" fillId="16" borderId="77" xfId="3" applyFill="1" applyBorder="1" applyAlignment="1">
      <alignment vertical="center"/>
    </xf>
    <xf numFmtId="0" fontId="34" fillId="0" borderId="0" xfId="3" applyAlignment="1">
      <alignment vertical="center"/>
    </xf>
    <xf numFmtId="0" fontId="34" fillId="0" borderId="0" xfId="3" applyAlignment="1">
      <alignment vertical="center" wrapText="1"/>
    </xf>
    <xf numFmtId="0" fontId="34" fillId="0" borderId="0" xfId="3" applyAlignment="1">
      <alignment horizontal="center" vertical="top"/>
    </xf>
    <xf numFmtId="0" fontId="37" fillId="0" borderId="2" xfId="3" applyFont="1" applyBorder="1" applyAlignment="1">
      <alignment vertical="center" wrapText="1"/>
    </xf>
    <xf numFmtId="0" fontId="37" fillId="0" borderId="13" xfId="3" applyFont="1" applyBorder="1" applyAlignment="1">
      <alignment vertical="center" wrapText="1"/>
    </xf>
    <xf numFmtId="0" fontId="37" fillId="16" borderId="76" xfId="3" applyFont="1" applyFill="1" applyBorder="1" applyAlignment="1">
      <alignment vertical="center" wrapText="1"/>
    </xf>
    <xf numFmtId="0" fontId="37" fillId="0" borderId="0" xfId="3" applyFont="1" applyAlignment="1">
      <alignment vertical="center" wrapText="1"/>
    </xf>
    <xf numFmtId="0" fontId="39" fillId="16" borderId="76" xfId="3" applyFont="1" applyFill="1" applyBorder="1" applyAlignment="1">
      <alignment vertical="center" wrapText="1"/>
    </xf>
    <xf numFmtId="49" fontId="18" fillId="16" borderId="79" xfId="3" applyNumberFormat="1" applyFont="1" applyFill="1" applyBorder="1" applyAlignment="1">
      <alignment vertical="top" textRotation="180" wrapText="1"/>
    </xf>
    <xf numFmtId="0" fontId="14" fillId="17" borderId="23" xfId="3" applyFont="1" applyFill="1" applyBorder="1" applyAlignment="1">
      <alignment vertical="center"/>
    </xf>
    <xf numFmtId="0" fontId="14" fillId="17" borderId="3" xfId="3" applyFont="1" applyFill="1" applyBorder="1" applyAlignment="1">
      <alignment vertical="center"/>
    </xf>
    <xf numFmtId="0" fontId="14" fillId="16" borderId="76" xfId="3" applyFont="1" applyFill="1" applyBorder="1" applyAlignment="1">
      <alignment horizontal="center" vertical="top"/>
    </xf>
    <xf numFmtId="0" fontId="37" fillId="16" borderId="76" xfId="3" applyFont="1" applyFill="1" applyBorder="1" applyAlignment="1">
      <alignment vertical="center"/>
    </xf>
    <xf numFmtId="0" fontId="33" fillId="16" borderId="2" xfId="3" applyFont="1" applyFill="1" applyBorder="1" applyAlignment="1">
      <alignment horizontal="center" vertical="center" wrapText="1"/>
    </xf>
    <xf numFmtId="0" fontId="37" fillId="0" borderId="0" xfId="3" applyFont="1" applyAlignment="1">
      <alignment vertical="center"/>
    </xf>
    <xf numFmtId="0" fontId="33" fillId="17" borderId="15" xfId="3" applyFont="1" applyFill="1" applyBorder="1" applyAlignment="1">
      <alignment horizontal="center" vertical="center" wrapText="1"/>
    </xf>
    <xf numFmtId="1" fontId="18" fillId="16" borderId="15" xfId="3" applyNumberFormat="1" applyFont="1" applyFill="1" applyBorder="1" applyAlignment="1">
      <alignment horizontal="center" vertical="top"/>
    </xf>
    <xf numFmtId="0" fontId="33" fillId="17" borderId="24" xfId="3" applyFont="1" applyFill="1" applyBorder="1" applyAlignment="1">
      <alignment horizontal="center" vertical="center" wrapText="1"/>
    </xf>
    <xf numFmtId="0" fontId="32" fillId="16" borderId="76" xfId="3" applyFont="1" applyFill="1" applyBorder="1" applyAlignment="1">
      <alignment horizontal="left" vertical="center" wrapText="1"/>
    </xf>
    <xf numFmtId="0" fontId="44" fillId="16" borderId="2" xfId="3" applyFont="1" applyFill="1" applyBorder="1" applyAlignment="1">
      <alignment horizontal="center" vertical="center" wrapText="1"/>
    </xf>
    <xf numFmtId="0" fontId="14" fillId="16" borderId="2" xfId="3" applyFont="1" applyFill="1" applyBorder="1" applyAlignment="1">
      <alignment vertical="center" wrapText="1"/>
    </xf>
    <xf numFmtId="0" fontId="14" fillId="16" borderId="2" xfId="3" applyFont="1" applyFill="1" applyBorder="1" applyAlignment="1">
      <alignment horizontal="left" vertical="center"/>
    </xf>
    <xf numFmtId="0" fontId="14" fillId="16" borderId="13" xfId="3" applyFont="1" applyFill="1" applyBorder="1" applyAlignment="1">
      <alignment vertical="center"/>
    </xf>
    <xf numFmtId="0" fontId="14" fillId="16" borderId="13" xfId="3" applyFont="1" applyFill="1" applyBorder="1" applyAlignment="1">
      <alignment horizontal="left" vertical="center"/>
    </xf>
    <xf numFmtId="0" fontId="35" fillId="16" borderId="24" xfId="3" applyFont="1" applyFill="1" applyBorder="1" applyAlignment="1">
      <alignment horizontal="left" vertical="center" wrapText="1"/>
    </xf>
    <xf numFmtId="0" fontId="36" fillId="16" borderId="24" xfId="3" applyFont="1" applyFill="1" applyBorder="1" applyAlignment="1">
      <alignment vertical="center"/>
    </xf>
    <xf numFmtId="0" fontId="36" fillId="0" borderId="0" xfId="3" applyFont="1" applyAlignment="1">
      <alignment vertical="center"/>
    </xf>
    <xf numFmtId="0" fontId="41" fillId="17" borderId="24" xfId="3" applyFont="1" applyFill="1" applyBorder="1" applyAlignment="1">
      <alignment horizontal="center" vertical="center"/>
    </xf>
    <xf numFmtId="0" fontId="59" fillId="2" borderId="75" xfId="3" applyFont="1" applyFill="1" applyBorder="1" applyAlignment="1">
      <alignment horizontal="center" vertical="center" wrapText="1"/>
    </xf>
    <xf numFmtId="0" fontId="59" fillId="0" borderId="74" xfId="3" applyFont="1" applyBorder="1" applyAlignment="1">
      <alignment horizontal="center" vertical="center" wrapText="1"/>
    </xf>
    <xf numFmtId="0" fontId="14" fillId="16" borderId="2" xfId="3" applyFont="1" applyFill="1" applyBorder="1" applyAlignment="1">
      <alignment horizontal="center" vertical="center" wrapText="1"/>
    </xf>
    <xf numFmtId="165" fontId="32" fillId="0" borderId="74" xfId="3" applyNumberFormat="1" applyFont="1" applyBorder="1" applyAlignment="1" applyProtection="1">
      <alignment horizontal="left" vertical="top" wrapText="1"/>
      <protection locked="0"/>
    </xf>
    <xf numFmtId="165" fontId="32" fillId="0" borderId="75" xfId="3" applyNumberFormat="1" applyFont="1" applyBorder="1" applyAlignment="1" applyProtection="1">
      <alignment horizontal="left" vertical="top" wrapText="1"/>
      <protection locked="0"/>
    </xf>
    <xf numFmtId="0" fontId="61" fillId="24" borderId="74" xfId="6" applyBorder="1" applyAlignment="1" applyProtection="1">
      <alignment horizontal="left" vertical="top" wrapText="1"/>
      <protection locked="0"/>
    </xf>
    <xf numFmtId="0" fontId="60" fillId="23" borderId="75" xfId="5" applyBorder="1" applyAlignment="1" applyProtection="1">
      <alignment horizontal="left" vertical="top" wrapText="1"/>
      <protection locked="0"/>
    </xf>
    <xf numFmtId="0" fontId="61" fillId="24" borderId="75" xfId="6" applyBorder="1" applyAlignment="1" applyProtection="1">
      <alignment horizontal="left" vertical="top" wrapText="1"/>
      <protection locked="0"/>
    </xf>
    <xf numFmtId="0" fontId="62" fillId="25" borderId="75" xfId="7" applyBorder="1" applyAlignment="1" applyProtection="1">
      <alignment horizontal="left" vertical="top" wrapText="1"/>
      <protection locked="0"/>
    </xf>
    <xf numFmtId="0" fontId="33" fillId="16" borderId="2" xfId="3" applyFont="1" applyFill="1" applyBorder="1" applyAlignment="1">
      <alignment horizontal="center" vertical="center" wrapText="1"/>
    </xf>
    <xf numFmtId="0" fontId="33" fillId="16" borderId="13" xfId="3" applyFont="1" applyFill="1" applyBorder="1" applyAlignment="1">
      <alignment horizontal="center" vertical="center" wrapText="1"/>
    </xf>
    <xf numFmtId="0" fontId="14" fillId="17" borderId="12" xfId="3" applyFont="1" applyFill="1" applyBorder="1" applyAlignment="1">
      <alignment horizontal="left" vertical="center"/>
    </xf>
    <xf numFmtId="0" fontId="14" fillId="17" borderId="2" xfId="3" applyFont="1" applyFill="1" applyBorder="1" applyAlignment="1">
      <alignment horizontal="left" vertical="center"/>
    </xf>
    <xf numFmtId="0" fontId="14" fillId="17" borderId="20" xfId="3" applyFont="1" applyFill="1" applyBorder="1" applyAlignment="1">
      <alignment horizontal="center" vertical="center"/>
    </xf>
    <xf numFmtId="0" fontId="14" fillId="17" borderId="24" xfId="3" applyFont="1" applyFill="1" applyBorder="1" applyAlignment="1">
      <alignment horizontal="center" vertical="center"/>
    </xf>
    <xf numFmtId="0" fontId="14" fillId="16" borderId="13" xfId="3" applyFont="1" applyFill="1" applyBorder="1" applyAlignment="1">
      <alignment horizontal="left" vertical="center"/>
    </xf>
    <xf numFmtId="0" fontId="14" fillId="16" borderId="12" xfId="3" applyFont="1" applyFill="1" applyBorder="1" applyAlignment="1">
      <alignment horizontal="left" vertical="center"/>
    </xf>
    <xf numFmtId="0" fontId="14" fillId="17" borderId="73" xfId="3" applyFont="1" applyFill="1" applyBorder="1" applyAlignment="1">
      <alignment horizontal="center" vertical="center"/>
    </xf>
    <xf numFmtId="0" fontId="14" fillId="17" borderId="14" xfId="3" applyFont="1" applyFill="1" applyBorder="1" applyAlignment="1">
      <alignment horizontal="center" vertical="center"/>
    </xf>
    <xf numFmtId="0" fontId="14" fillId="17" borderId="12" xfId="3" applyFont="1" applyFill="1" applyBorder="1" applyAlignment="1">
      <alignment horizontal="center" vertical="center"/>
    </xf>
    <xf numFmtId="0" fontId="14" fillId="17" borderId="13" xfId="3" applyFont="1" applyFill="1" applyBorder="1" applyAlignment="1">
      <alignment horizontal="center" vertical="center"/>
    </xf>
    <xf numFmtId="0" fontId="45" fillId="16" borderId="3" xfId="3" applyFont="1" applyFill="1" applyBorder="1" applyAlignment="1">
      <alignment horizontal="center" vertical="center" wrapText="1"/>
    </xf>
    <xf numFmtId="0" fontId="45" fillId="16" borderId="77" xfId="3" applyFont="1" applyFill="1" applyBorder="1" applyAlignment="1">
      <alignment horizontal="center" vertical="center" wrapText="1"/>
    </xf>
    <xf numFmtId="0" fontId="12" fillId="0" borderId="13" xfId="3" applyFont="1" applyBorder="1" applyAlignment="1" applyProtection="1">
      <alignment horizontal="center" vertical="center"/>
      <protection locked="0"/>
    </xf>
    <xf numFmtId="0" fontId="12" fillId="0" borderId="14" xfId="3" applyFont="1" applyBorder="1" applyAlignment="1" applyProtection="1">
      <alignment horizontal="center" vertical="center"/>
      <protection locked="0"/>
    </xf>
    <xf numFmtId="0" fontId="41" fillId="17" borderId="2" xfId="3" applyFont="1" applyFill="1" applyBorder="1" applyAlignment="1">
      <alignment horizontal="center" vertical="center"/>
    </xf>
    <xf numFmtId="0" fontId="41" fillId="17" borderId="13" xfId="3" applyFont="1" applyFill="1" applyBorder="1" applyAlignment="1">
      <alignment horizontal="center" vertical="center"/>
    </xf>
    <xf numFmtId="0" fontId="17" fillId="0" borderId="40" xfId="1" applyFont="1" applyBorder="1" applyAlignment="1">
      <alignment horizontal="left" vertical="top" wrapText="1"/>
    </xf>
    <xf numFmtId="0" fontId="17" fillId="0" borderId="41" xfId="1" applyFont="1" applyBorder="1" applyAlignment="1">
      <alignment horizontal="left" vertical="top" wrapText="1"/>
    </xf>
    <xf numFmtId="0" fontId="17" fillId="0" borderId="39" xfId="1" applyFont="1" applyBorder="1" applyAlignment="1">
      <alignment horizontal="left" vertical="top" wrapText="1"/>
    </xf>
    <xf numFmtId="0" fontId="17" fillId="0" borderId="27" xfId="1" applyFont="1" applyBorder="1" applyAlignment="1">
      <alignment horizontal="left" vertical="top" wrapText="1"/>
    </xf>
    <xf numFmtId="0" fontId="17" fillId="0" borderId="0" xfId="1" applyFont="1" applyAlignment="1">
      <alignment horizontal="left" vertical="top" wrapText="1"/>
    </xf>
    <xf numFmtId="0" fontId="17" fillId="0" borderId="42" xfId="1" applyFont="1" applyBorder="1" applyAlignment="1">
      <alignment horizontal="left" vertical="top" wrapText="1"/>
    </xf>
    <xf numFmtId="0" fontId="17" fillId="0" borderId="45" xfId="1" applyFont="1" applyBorder="1" applyAlignment="1">
      <alignment horizontal="left" vertical="top" wrapText="1"/>
    </xf>
    <xf numFmtId="0" fontId="17" fillId="0" borderId="28" xfId="1" applyFont="1" applyBorder="1" applyAlignment="1">
      <alignment horizontal="left" vertical="top" wrapText="1"/>
    </xf>
    <xf numFmtId="0" fontId="17" fillId="0" borderId="44" xfId="1" applyFont="1" applyBorder="1" applyAlignment="1">
      <alignment horizontal="left" vertical="top" wrapText="1"/>
    </xf>
    <xf numFmtId="0" fontId="12" fillId="0" borderId="21" xfId="1" applyBorder="1" applyAlignment="1">
      <alignment horizontal="left" vertical="center" wrapText="1"/>
    </xf>
    <xf numFmtId="0" fontId="12" fillId="0" borderId="42" xfId="1" applyBorder="1" applyAlignment="1">
      <alignment horizontal="left" vertical="center" wrapText="1"/>
    </xf>
    <xf numFmtId="0" fontId="18" fillId="0" borderId="46" xfId="1" applyFont="1" applyBorder="1" applyAlignment="1">
      <alignment horizontal="right"/>
    </xf>
    <xf numFmtId="0" fontId="18" fillId="0" borderId="47" xfId="1" applyFont="1" applyBorder="1" applyAlignment="1">
      <alignment horizontal="right"/>
    </xf>
    <xf numFmtId="0" fontId="1" fillId="0" borderId="0" xfId="0" applyFont="1" applyAlignment="1">
      <alignment horizontal="center" vertical="center" wrapText="1"/>
    </xf>
    <xf numFmtId="0" fontId="4" fillId="4" borderId="8"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 fillId="3" borderId="3" xfId="0" applyFont="1" applyFill="1" applyBorder="1" applyAlignment="1" applyProtection="1">
      <alignment horizontal="left" vertical="center" wrapText="1"/>
      <protection locked="0"/>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2" fillId="3" borderId="0" xfId="0" applyFont="1" applyFill="1" applyAlignment="1">
      <alignment horizontal="left" vertical="center" wrapText="1"/>
    </xf>
    <xf numFmtId="0" fontId="1" fillId="3" borderId="3"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2" fillId="3" borderId="0" xfId="0" applyFont="1" applyFill="1" applyAlignment="1">
      <alignment horizontal="right" vertical="center" wrapText="1"/>
    </xf>
    <xf numFmtId="0" fontId="57" fillId="0" borderId="89" xfId="0" applyFont="1" applyBorder="1" applyAlignment="1">
      <alignment horizontal="left" vertical="top" wrapText="1"/>
    </xf>
    <xf numFmtId="0" fontId="57" fillId="0" borderId="90" xfId="0" applyFont="1" applyBorder="1" applyAlignment="1">
      <alignment horizontal="left" vertical="top" wrapText="1"/>
    </xf>
    <xf numFmtId="0" fontId="57" fillId="0" borderId="86" xfId="0" applyFont="1" applyBorder="1" applyAlignment="1">
      <alignment horizontal="left" vertical="top" wrapText="1"/>
    </xf>
    <xf numFmtId="0" fontId="32" fillId="0" borderId="0" xfId="0" applyFont="1" applyAlignment="1">
      <alignment vertical="center"/>
    </xf>
    <xf numFmtId="0" fontId="41" fillId="18" borderId="13" xfId="0" applyFont="1" applyFill="1" applyBorder="1" applyAlignment="1">
      <alignment horizontal="center" vertical="center" wrapText="1"/>
    </xf>
    <xf numFmtId="0" fontId="41" fillId="18" borderId="14" xfId="0" applyFont="1" applyFill="1" applyBorder="1" applyAlignment="1">
      <alignment horizontal="center" vertical="center" wrapText="1"/>
    </xf>
    <xf numFmtId="0" fontId="41" fillId="18" borderId="12" xfId="0" applyFont="1" applyFill="1" applyBorder="1" applyAlignment="1">
      <alignment horizontal="center" vertical="center" wrapText="1"/>
    </xf>
    <xf numFmtId="0" fontId="10" fillId="18" borderId="15" xfId="0" applyFont="1" applyFill="1" applyBorder="1" applyAlignment="1">
      <alignment horizontal="center" vertical="center" wrapText="1"/>
    </xf>
    <xf numFmtId="0" fontId="10" fillId="18" borderId="16" xfId="0" applyFont="1" applyFill="1" applyBorder="1" applyAlignment="1">
      <alignment horizontal="center" vertical="center" wrapText="1"/>
    </xf>
    <xf numFmtId="0" fontId="10" fillId="18" borderId="20" xfId="0" applyFont="1" applyFill="1" applyBorder="1" applyAlignment="1">
      <alignment horizontal="center" vertical="center" wrapText="1"/>
    </xf>
    <xf numFmtId="0" fontId="10" fillId="18" borderId="21" xfId="0" applyFont="1" applyFill="1" applyBorder="1" applyAlignment="1">
      <alignment horizontal="center" vertical="center" wrapText="1"/>
    </xf>
    <xf numFmtId="0" fontId="10" fillId="18" borderId="0" xfId="0" applyFont="1" applyFill="1" applyAlignment="1">
      <alignment horizontal="center" vertical="center" wrapText="1"/>
    </xf>
    <xf numFmtId="0" fontId="40" fillId="18" borderId="13" xfId="0" applyFont="1" applyFill="1" applyBorder="1" applyAlignment="1">
      <alignment horizontal="center" vertical="center" wrapText="1"/>
    </xf>
    <xf numFmtId="0" fontId="40" fillId="18" borderId="14" xfId="0" applyFont="1" applyFill="1" applyBorder="1" applyAlignment="1">
      <alignment horizontal="center" vertical="center" wrapText="1"/>
    </xf>
    <xf numFmtId="0" fontId="40" fillId="18" borderId="12" xfId="0" applyFont="1" applyFill="1" applyBorder="1" applyAlignment="1">
      <alignment horizontal="center" vertical="center" wrapText="1"/>
    </xf>
    <xf numFmtId="0" fontId="14" fillId="18" borderId="24" xfId="0" applyFont="1" applyFill="1" applyBorder="1" applyAlignment="1">
      <alignment horizontal="center" vertical="center" wrapText="1"/>
    </xf>
    <xf numFmtId="0" fontId="14" fillId="18" borderId="25" xfId="0" applyFont="1" applyFill="1" applyBorder="1" applyAlignment="1">
      <alignment horizontal="center" vertical="center" wrapText="1"/>
    </xf>
    <xf numFmtId="0" fontId="14" fillId="18" borderId="24" xfId="0" applyFont="1" applyFill="1" applyBorder="1" applyAlignment="1">
      <alignment horizontal="center" vertical="center"/>
    </xf>
    <xf numFmtId="0" fontId="14" fillId="18" borderId="25" xfId="0" applyFont="1" applyFill="1" applyBorder="1" applyAlignment="1">
      <alignment horizontal="center" vertical="center"/>
    </xf>
    <xf numFmtId="0" fontId="33" fillId="0" borderId="0" xfId="0" applyFont="1" applyAlignment="1">
      <alignment vertical="center"/>
    </xf>
    <xf numFmtId="0" fontId="14" fillId="16" borderId="2" xfId="0" applyFont="1" applyFill="1" applyBorder="1" applyAlignment="1">
      <alignment horizontal="left" vertical="center" wrapText="1"/>
    </xf>
    <xf numFmtId="0" fontId="46" fillId="3" borderId="0" xfId="0" applyFont="1" applyFill="1" applyAlignment="1">
      <alignment horizontal="center" vertical="center" wrapText="1"/>
    </xf>
    <xf numFmtId="0" fontId="1" fillId="3" borderId="2" xfId="0" applyFont="1" applyFill="1" applyBorder="1" applyAlignment="1">
      <alignment horizontal="left" vertical="center" wrapText="1"/>
    </xf>
    <xf numFmtId="0" fontId="40" fillId="18"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2" fillId="0" borderId="2" xfId="0" applyFont="1" applyBorder="1" applyAlignment="1">
      <alignment horizontal="left" vertical="center" wrapText="1"/>
    </xf>
    <xf numFmtId="0" fontId="1" fillId="0" borderId="25"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2" xfId="0" applyFont="1" applyBorder="1" applyAlignment="1">
      <alignment horizontal="left" vertical="center" wrapText="1"/>
    </xf>
    <xf numFmtId="0" fontId="12" fillId="0" borderId="25" xfId="0" applyFont="1" applyBorder="1" applyAlignment="1">
      <alignment horizontal="left" vertical="center" wrapText="1"/>
    </xf>
    <xf numFmtId="0" fontId="40" fillId="18" borderId="15" xfId="0" applyFont="1" applyFill="1" applyBorder="1" applyAlignment="1">
      <alignment horizontal="center" vertical="center" wrapText="1"/>
    </xf>
    <xf numFmtId="0" fontId="10" fillId="18" borderId="22" xfId="0" applyFont="1" applyFill="1" applyBorder="1" applyAlignment="1">
      <alignment horizontal="center" vertical="center" wrapText="1"/>
    </xf>
    <xf numFmtId="0" fontId="30" fillId="0" borderId="26" xfId="0" applyFont="1" applyBorder="1" applyAlignment="1">
      <alignment horizontal="center" vertical="center" wrapText="1"/>
    </xf>
    <xf numFmtId="0" fontId="31" fillId="0" borderId="0" xfId="0" applyFont="1" applyAlignment="1">
      <alignment horizontal="left" vertical="center"/>
    </xf>
    <xf numFmtId="0" fontId="28" fillId="0" borderId="0" xfId="0" applyFont="1" applyAlignment="1">
      <alignment horizontal="left" vertical="justify"/>
    </xf>
    <xf numFmtId="0" fontId="28" fillId="0" borderId="0" xfId="0" applyFont="1" applyAlignment="1">
      <alignment horizontal="left" vertical="center"/>
    </xf>
    <xf numFmtId="0" fontId="16" fillId="0" borderId="70" xfId="0" applyFont="1" applyBorder="1" applyAlignment="1">
      <alignment horizontal="center" vertical="center"/>
    </xf>
    <xf numFmtId="0" fontId="15" fillId="0" borderId="70" xfId="0" applyFont="1" applyBorder="1" applyAlignment="1">
      <alignment horizontal="center" vertical="center"/>
    </xf>
    <xf numFmtId="0" fontId="29" fillId="14" borderId="32" xfId="0"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38" xfId="0" applyFont="1" applyBorder="1" applyAlignment="1">
      <alignment horizontal="center" vertical="center" wrapText="1"/>
    </xf>
    <xf numFmtId="0" fontId="29" fillId="14" borderId="31" xfId="0" applyFont="1" applyFill="1" applyBorder="1" applyAlignment="1">
      <alignment vertical="center" wrapText="1"/>
    </xf>
    <xf numFmtId="0" fontId="29" fillId="14" borderId="32" xfId="0" applyFont="1" applyFill="1" applyBorder="1" applyAlignment="1">
      <alignment vertical="center" wrapText="1"/>
    </xf>
    <xf numFmtId="0" fontId="25" fillId="0" borderId="69" xfId="0" applyFont="1" applyBorder="1" applyAlignment="1">
      <alignment horizontal="left" vertical="center" wrapText="1"/>
    </xf>
    <xf numFmtId="0" fontId="25" fillId="0" borderId="65" xfId="0" applyFont="1" applyBorder="1" applyAlignment="1">
      <alignment horizontal="left" vertical="center" wrapText="1"/>
    </xf>
    <xf numFmtId="0" fontId="25" fillId="0" borderId="60" xfId="0" applyFont="1" applyBorder="1" applyAlignment="1">
      <alignment horizontal="left" vertical="center" wrapText="1"/>
    </xf>
    <xf numFmtId="0" fontId="27" fillId="0" borderId="69" xfId="0" applyFont="1" applyBorder="1" applyAlignment="1">
      <alignment horizontal="center" vertical="center" wrapText="1"/>
    </xf>
    <xf numFmtId="0" fontId="27" fillId="0" borderId="65" xfId="0" applyFont="1" applyBorder="1" applyAlignment="1">
      <alignment horizontal="center" vertical="center" wrapText="1"/>
    </xf>
    <xf numFmtId="0" fontId="13" fillId="13" borderId="69" xfId="0" applyFont="1" applyFill="1" applyBorder="1" applyAlignment="1">
      <alignment horizontal="center" vertical="center" wrapText="1"/>
    </xf>
    <xf numFmtId="0" fontId="13" fillId="13" borderId="60" xfId="0" applyFont="1" applyFill="1" applyBorder="1" applyAlignment="1">
      <alignment horizontal="center" vertical="center" wrapText="1"/>
    </xf>
    <xf numFmtId="0" fontId="27" fillId="0" borderId="30" xfId="0" applyFont="1" applyBorder="1" applyAlignment="1">
      <alignment horizontal="center" vertical="center" wrapText="1"/>
    </xf>
    <xf numFmtId="0" fontId="27" fillId="0" borderId="34" xfId="0" applyFont="1" applyBorder="1" applyAlignment="1">
      <alignment horizontal="center" vertical="center" wrapText="1"/>
    </xf>
    <xf numFmtId="0" fontId="13" fillId="12" borderId="69" xfId="0" applyFont="1" applyFill="1" applyBorder="1" applyAlignment="1">
      <alignment horizontal="center" vertical="center" wrapText="1"/>
    </xf>
    <xf numFmtId="0" fontId="13" fillId="12" borderId="65" xfId="0" applyFont="1" applyFill="1" applyBorder="1" applyAlignment="1">
      <alignment horizontal="center" vertical="center" wrapText="1"/>
    </xf>
    <xf numFmtId="0" fontId="13" fillId="12" borderId="60" xfId="0" applyFont="1" applyFill="1" applyBorder="1" applyAlignment="1">
      <alignment horizontal="center" vertical="center" wrapText="1"/>
    </xf>
    <xf numFmtId="0" fontId="25" fillId="0" borderId="68" xfId="0" applyFont="1" applyBorder="1" applyAlignment="1">
      <alignment horizontal="left" vertical="center" wrapText="1"/>
    </xf>
    <xf numFmtId="0" fontId="25" fillId="0" borderId="62" xfId="0" applyFont="1" applyBorder="1" applyAlignment="1">
      <alignment horizontal="left" vertical="center" wrapText="1"/>
    </xf>
    <xf numFmtId="0" fontId="25" fillId="0" borderId="70" xfId="0" applyFont="1" applyBorder="1" applyAlignment="1">
      <alignment horizontal="left" vertical="center" wrapText="1"/>
    </xf>
    <xf numFmtId="0" fontId="25" fillId="0" borderId="61" xfId="0" applyFont="1" applyBorder="1" applyAlignment="1">
      <alignment horizontal="left" vertical="center" wrapText="1"/>
    </xf>
    <xf numFmtId="0" fontId="28" fillId="0" borderId="67" xfId="0" applyFont="1" applyBorder="1" applyAlignment="1">
      <alignment vertical="center" wrapText="1"/>
    </xf>
    <xf numFmtId="0" fontId="28" fillId="0" borderId="58" xfId="0" applyFont="1" applyBorder="1" applyAlignment="1">
      <alignment vertical="center" wrapText="1"/>
    </xf>
    <xf numFmtId="0" fontId="25" fillId="0" borderId="67" xfId="0" applyFont="1" applyBorder="1" applyAlignment="1">
      <alignment horizontal="left" vertical="center" wrapText="1"/>
    </xf>
    <xf numFmtId="0" fontId="25" fillId="0" borderId="58" xfId="0" applyFont="1" applyBorder="1" applyAlignment="1">
      <alignment horizontal="left" vertical="center" wrapText="1"/>
    </xf>
    <xf numFmtId="0" fontId="27" fillId="0" borderId="60" xfId="0" applyFont="1" applyBorder="1" applyAlignment="1">
      <alignment horizontal="center" vertical="center" wrapText="1"/>
    </xf>
    <xf numFmtId="0" fontId="13" fillId="11" borderId="69" xfId="0" applyFont="1" applyFill="1" applyBorder="1" applyAlignment="1">
      <alignment horizontal="center" vertical="center" wrapText="1"/>
    </xf>
    <xf numFmtId="0" fontId="13" fillId="11" borderId="65" xfId="0" applyFont="1" applyFill="1" applyBorder="1" applyAlignment="1">
      <alignment horizontal="center" vertical="center" wrapText="1"/>
    </xf>
    <xf numFmtId="0" fontId="13" fillId="11" borderId="60" xfId="0" applyFont="1" applyFill="1" applyBorder="1" applyAlignment="1">
      <alignment horizontal="center" vertical="center" wrapText="1"/>
    </xf>
    <xf numFmtId="0" fontId="13" fillId="10" borderId="69" xfId="0" applyFont="1" applyFill="1" applyBorder="1" applyAlignment="1">
      <alignment horizontal="center" vertical="center" wrapText="1"/>
    </xf>
    <xf numFmtId="0" fontId="13" fillId="10" borderId="65" xfId="0" applyFont="1" applyFill="1" applyBorder="1" applyAlignment="1">
      <alignment horizontal="center" vertical="center" wrapText="1"/>
    </xf>
    <xf numFmtId="0" fontId="13" fillId="10" borderId="60" xfId="0" applyFont="1" applyFill="1" applyBorder="1" applyAlignment="1">
      <alignment horizontal="center" vertical="center" wrapText="1"/>
    </xf>
    <xf numFmtId="0" fontId="23" fillId="0" borderId="0" xfId="0" applyFont="1" applyAlignment="1">
      <alignment horizontal="center" vertical="justify" textRotation="90" wrapText="1"/>
    </xf>
    <xf numFmtId="0" fontId="23" fillId="0" borderId="61" xfId="0" applyFont="1" applyBorder="1" applyAlignment="1">
      <alignment horizontal="center" vertical="justify" textRotation="90" wrapText="1"/>
    </xf>
    <xf numFmtId="0" fontId="23" fillId="0" borderId="63" xfId="0" applyFont="1" applyBorder="1" applyAlignment="1">
      <alignment horizontal="center" vertical="justify" textRotation="90" wrapText="1"/>
    </xf>
    <xf numFmtId="0" fontId="13" fillId="8" borderId="68" xfId="0" applyFont="1" applyFill="1" applyBorder="1" applyAlignment="1">
      <alignment horizontal="center" vertical="justify" wrapText="1"/>
    </xf>
    <xf numFmtId="0" fontId="13" fillId="8" borderId="66" xfId="0" applyFont="1" applyFill="1" applyBorder="1" applyAlignment="1">
      <alignment horizontal="center" vertical="justify" wrapText="1"/>
    </xf>
    <xf numFmtId="0" fontId="13" fillId="8" borderId="62" xfId="0" applyFont="1" applyFill="1" applyBorder="1" applyAlignment="1">
      <alignment horizontal="center" vertical="justify" wrapText="1"/>
    </xf>
    <xf numFmtId="0" fontId="13" fillId="8" borderId="69" xfId="0" applyFont="1" applyFill="1" applyBorder="1" applyAlignment="1">
      <alignment horizontal="center" vertical="center" wrapText="1"/>
    </xf>
    <xf numFmtId="0" fontId="13" fillId="8" borderId="60" xfId="0" applyFont="1" applyFill="1" applyBorder="1" applyAlignment="1">
      <alignment horizontal="center" vertical="center" wrapText="1"/>
    </xf>
    <xf numFmtId="0" fontId="13" fillId="8" borderId="71" xfId="0" applyFont="1" applyFill="1" applyBorder="1" applyAlignment="1">
      <alignment horizontal="center" vertical="center" wrapText="1"/>
    </xf>
    <xf numFmtId="0" fontId="13" fillId="8" borderId="72" xfId="0" applyFont="1" applyFill="1" applyBorder="1" applyAlignment="1">
      <alignment horizontal="center" vertical="center" wrapText="1"/>
    </xf>
    <xf numFmtId="0" fontId="13" fillId="8" borderId="64" xfId="0" applyFont="1" applyFill="1" applyBorder="1" applyAlignment="1">
      <alignment horizontal="center" vertical="center" wrapText="1"/>
    </xf>
    <xf numFmtId="0" fontId="13" fillId="8" borderId="59" xfId="0" applyFont="1" applyFill="1" applyBorder="1" applyAlignment="1">
      <alignment horizontal="center" vertical="center" wrapText="1"/>
    </xf>
    <xf numFmtId="0" fontId="13" fillId="8" borderId="69" xfId="0" applyFont="1" applyFill="1" applyBorder="1" applyAlignment="1">
      <alignment horizontal="center" vertical="center" textRotation="90" wrapText="1"/>
    </xf>
    <xf numFmtId="0" fontId="13" fillId="8" borderId="65" xfId="0" applyFont="1" applyFill="1" applyBorder="1" applyAlignment="1">
      <alignment horizontal="center" vertical="center" textRotation="90" wrapText="1"/>
    </xf>
    <xf numFmtId="0" fontId="13" fillId="8" borderId="60" xfId="0" applyFont="1" applyFill="1" applyBorder="1" applyAlignment="1">
      <alignment horizontal="center" vertical="center" textRotation="90" wrapText="1"/>
    </xf>
    <xf numFmtId="0" fontId="13" fillId="9" borderId="69" xfId="0" applyFont="1" applyFill="1" applyBorder="1" applyAlignment="1">
      <alignment horizontal="center" vertical="center" wrapText="1"/>
    </xf>
    <xf numFmtId="0" fontId="13" fillId="9" borderId="65" xfId="0" applyFont="1" applyFill="1" applyBorder="1" applyAlignment="1">
      <alignment horizontal="center" vertical="center" wrapText="1"/>
    </xf>
    <xf numFmtId="0" fontId="13" fillId="9" borderId="60" xfId="0" applyFont="1" applyFill="1" applyBorder="1" applyAlignment="1">
      <alignment horizontal="center" vertical="center" wrapText="1"/>
    </xf>
    <xf numFmtId="0" fontId="25" fillId="0" borderId="68" xfId="0" applyFont="1" applyBorder="1" applyAlignment="1">
      <alignment horizontal="justify" vertical="center" wrapText="1"/>
    </xf>
    <xf numFmtId="0" fontId="25" fillId="0" borderId="62" xfId="0" applyFont="1" applyBorder="1" applyAlignment="1">
      <alignment horizontal="justify" vertical="center" wrapText="1"/>
    </xf>
  </cellXfs>
  <cellStyles count="8">
    <cellStyle name="Bad" xfId="6" builtinId="27"/>
    <cellStyle name="Good" xfId="5" builtinId="26"/>
    <cellStyle name="Hyperlink" xfId="2" builtinId="8"/>
    <cellStyle name="Neutral" xfId="7" builtinId="28"/>
    <cellStyle name="Normal" xfId="0" builtinId="0"/>
    <cellStyle name="Normal 2" xfId="1" xr:uid="{F236981E-CE6F-42E0-93D0-0C6236FCBC8C}"/>
    <cellStyle name="Normal 3" xfId="3" xr:uid="{A294B0E7-A9C8-4F77-99BC-2C8D8AB32318}"/>
    <cellStyle name="Normal 3 2" xfId="4" xr:uid="{4C6251FD-212D-49F1-A176-978D4C62A2BA}"/>
  </cellStyles>
  <dxfs count="36">
    <dxf>
      <numFmt numFmtId="169" formatCode="[$$-409]#,##0"/>
    </dxf>
    <dxf>
      <numFmt numFmtId="170" formatCode="&quot;£&quot;#,##0"/>
    </dxf>
    <dxf>
      <numFmt numFmtId="171" formatCode="[$KZT]\ #,##0"/>
    </dxf>
    <dxf>
      <numFmt numFmtId="172" formatCode="[$R$-416]\ #,##0"/>
    </dxf>
    <dxf>
      <numFmt numFmtId="173" formatCode="[$€-2]\ #,##0"/>
    </dxf>
    <dxf>
      <numFmt numFmtId="174" formatCode="[$kr-814]\ #,##0"/>
    </dxf>
    <dxf>
      <font>
        <b/>
        <i val="0"/>
        <color theme="0"/>
      </font>
      <fill>
        <patternFill>
          <bgColor rgb="FFFF0000"/>
        </patternFill>
      </fill>
    </dxf>
    <dxf>
      <fill>
        <patternFill>
          <bgColor rgb="FFFFFF00"/>
        </patternFill>
      </fill>
    </dxf>
    <dxf>
      <font>
        <color theme="0"/>
      </font>
      <fill>
        <patternFill>
          <bgColor rgb="FF00B050"/>
        </patternFill>
      </fill>
    </dxf>
    <dxf>
      <font>
        <color theme="0"/>
      </font>
      <fill>
        <patternFill>
          <bgColor theme="0"/>
        </patternFill>
      </fill>
    </dxf>
    <dxf>
      <numFmt numFmtId="169" formatCode="[$$-409]#,##0"/>
    </dxf>
    <dxf>
      <numFmt numFmtId="170" formatCode="&quot;£&quot;#,##0"/>
    </dxf>
    <dxf>
      <numFmt numFmtId="171" formatCode="[$KZT]\ #,##0"/>
    </dxf>
    <dxf>
      <numFmt numFmtId="172" formatCode="[$R$-416]\ #,##0"/>
    </dxf>
    <dxf>
      <numFmt numFmtId="173" formatCode="[$€-2]\ #,##0"/>
    </dxf>
    <dxf>
      <numFmt numFmtId="174" formatCode="[$kr-814]\ #,##0"/>
    </dxf>
    <dxf>
      <fill>
        <patternFill>
          <bgColor theme="1"/>
        </patternFill>
      </fill>
    </dxf>
    <dxf>
      <fill>
        <patternFill>
          <bgColor theme="1"/>
        </patternFill>
      </fill>
    </dxf>
    <dxf>
      <font>
        <b/>
        <i val="0"/>
        <color theme="0"/>
      </font>
      <fill>
        <patternFill>
          <bgColor rgb="FFFF0000"/>
        </patternFill>
      </fill>
    </dxf>
    <dxf>
      <fill>
        <patternFill>
          <bgColor rgb="FFFFFF00"/>
        </patternFill>
      </fill>
    </dxf>
    <dxf>
      <font>
        <color theme="0"/>
      </font>
      <fill>
        <patternFill>
          <bgColor rgb="FF00B050"/>
        </patternFill>
      </fill>
    </dxf>
    <dxf>
      <font>
        <color theme="0"/>
      </font>
      <fill>
        <patternFill>
          <bgColor theme="0"/>
        </patternFill>
      </fill>
    </dxf>
    <dxf>
      <numFmt numFmtId="169" formatCode="[$$-409]#,##0"/>
    </dxf>
    <dxf>
      <numFmt numFmtId="170" formatCode="&quot;£&quot;#,##0"/>
    </dxf>
    <dxf>
      <numFmt numFmtId="171" formatCode="[$KZT]\ #,##0"/>
    </dxf>
    <dxf>
      <numFmt numFmtId="172" formatCode="[$R$-416]\ #,##0"/>
    </dxf>
    <dxf>
      <numFmt numFmtId="173" formatCode="[$€-2]\ #,##0"/>
    </dxf>
    <dxf>
      <numFmt numFmtId="174" formatCode="[$kr-814]\ #,##0"/>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font>
      <fill>
        <patternFill>
          <bgColor theme="0"/>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font>
      <fill>
        <patternFill>
          <bgColor theme="0"/>
        </patternFill>
      </fill>
    </dxf>
  </dxfs>
  <tableStyles count="0" defaultTableStyle="TableStyleMedium2" defaultPivotStyle="PivotStyleLight16"/>
  <colors>
    <mruColors>
      <color rgb="FFFF0000"/>
      <color rgb="FF00B05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901065</xdr:colOff>
      <xdr:row>4</xdr:row>
      <xdr:rowOff>132080</xdr:rowOff>
    </xdr:to>
    <xdr:pic>
      <xdr:nvPicPr>
        <xdr:cNvPr id="2" name="Picture 1">
          <a:extLst>
            <a:ext uri="{FF2B5EF4-FFF2-40B4-BE49-F238E27FC236}">
              <a16:creationId xmlns:a16="http://schemas.microsoft.com/office/drawing/2014/main" id="{4A9859C7-7C95-4E25-B78D-BD708A046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81325" cy="867410"/>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0426C7-A32B-4726-A6A7-C1F923E4E3ED}" name="AIRiskSubcats" displayName="AIRiskSubcats" ref="A3:B16" totalsRowShown="0">
  <autoFilter ref="A3:B16" xr:uid="{CFEACA5F-0034-4F7B-8762-CC9583BC68C6}"/>
  <sortState xmlns:xlrd2="http://schemas.microsoft.com/office/spreadsheetml/2017/richdata2" ref="A4:B15">
    <sortCondition ref="A3:A15"/>
  </sortState>
  <tableColumns count="2">
    <tableColumn id="1" xr3:uid="{3B6BE7C7-B4FB-48A6-9EF3-CB94F0321218}" name="Name"/>
    <tableColumn id="2" xr3:uid="{0F38C5D8-BFEF-4057-9026-1589C3E03ED6}" name="Descriptio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EE14-B0B4-4795-8CB1-273769E0D49D}">
  <dimension ref="B1:Z57"/>
  <sheetViews>
    <sheetView topLeftCell="A7" workbookViewId="0">
      <selection activeCell="G18" sqref="G18"/>
    </sheetView>
  </sheetViews>
  <sheetFormatPr defaultColWidth="9.140625" defaultRowHeight="12.75" x14ac:dyDescent="0.2"/>
  <cols>
    <col min="1" max="1" width="2.85546875" style="29" customWidth="1"/>
    <col min="2" max="2" width="5" style="29" customWidth="1"/>
    <col min="3" max="3" width="27.140625" style="28" customWidth="1"/>
    <col min="4" max="4" width="26.140625" style="29" customWidth="1"/>
    <col min="5" max="5" width="28.85546875" style="29" customWidth="1"/>
    <col min="6" max="6" width="18.42578125" style="29" customWidth="1"/>
    <col min="7" max="7" width="29.5703125" style="29" customWidth="1"/>
    <col min="8" max="9" width="3.5703125" style="30" customWidth="1"/>
    <col min="10" max="10" width="3.42578125" style="29" customWidth="1"/>
    <col min="11" max="17" width="9.140625" style="29"/>
    <col min="18" max="28" width="0" style="29" hidden="1" customWidth="1"/>
    <col min="29" max="16384" width="9.140625" style="29"/>
  </cols>
  <sheetData>
    <row r="1" spans="3:26" ht="13.5" thickBot="1" x14ac:dyDescent="0.25">
      <c r="S1" s="31"/>
      <c r="T1" s="31"/>
      <c r="U1" s="31"/>
      <c r="V1" s="31"/>
      <c r="W1" s="31"/>
      <c r="X1" s="31"/>
      <c r="Y1" s="31"/>
      <c r="Z1" s="31"/>
    </row>
    <row r="2" spans="3:26" ht="12.75" customHeight="1" x14ac:dyDescent="0.2">
      <c r="C2" s="32" t="s">
        <v>0</v>
      </c>
      <c r="D2" s="33"/>
      <c r="E2" s="34"/>
      <c r="S2" s="31"/>
      <c r="T2" s="220"/>
      <c r="U2" s="221"/>
      <c r="V2" s="221"/>
      <c r="W2" s="221"/>
      <c r="X2" s="221"/>
      <c r="Y2" s="221"/>
      <c r="Z2" s="222"/>
    </row>
    <row r="3" spans="3:26" ht="12.75" customHeight="1" x14ac:dyDescent="0.2">
      <c r="C3" s="35" t="s">
        <v>1</v>
      </c>
      <c r="D3" s="36"/>
      <c r="E3" s="37"/>
      <c r="S3" s="31"/>
      <c r="T3" s="223"/>
      <c r="U3" s="224"/>
      <c r="V3" s="224"/>
      <c r="W3" s="224"/>
      <c r="X3" s="224"/>
      <c r="Y3" s="224"/>
      <c r="Z3" s="225"/>
    </row>
    <row r="4" spans="3:26" ht="12.75" customHeight="1" x14ac:dyDescent="0.2">
      <c r="C4" s="35" t="s">
        <v>2</v>
      </c>
      <c r="D4" s="36"/>
      <c r="E4" s="37"/>
      <c r="S4" s="31"/>
      <c r="T4" s="223"/>
      <c r="U4" s="224"/>
      <c r="V4" s="224"/>
      <c r="W4" s="224"/>
      <c r="X4" s="224"/>
      <c r="Y4" s="224"/>
      <c r="Z4" s="225"/>
    </row>
    <row r="5" spans="3:26" ht="27.75" customHeight="1" x14ac:dyDescent="0.2">
      <c r="C5" s="38" t="s">
        <v>3</v>
      </c>
      <c r="D5" s="229"/>
      <c r="E5" s="230"/>
      <c r="S5" s="31"/>
      <c r="T5" s="223"/>
      <c r="U5" s="224"/>
      <c r="V5" s="224"/>
      <c r="W5" s="224"/>
      <c r="X5" s="224"/>
      <c r="Y5" s="224"/>
      <c r="Z5" s="225"/>
    </row>
    <row r="6" spans="3:26" ht="31.7" customHeight="1" x14ac:dyDescent="0.2">
      <c r="C6" s="35" t="s">
        <v>4</v>
      </c>
      <c r="D6" s="229"/>
      <c r="E6" s="230"/>
      <c r="S6" s="31"/>
      <c r="T6" s="223"/>
      <c r="U6" s="224"/>
      <c r="V6" s="224"/>
      <c r="W6" s="224"/>
      <c r="X6" s="224"/>
      <c r="Y6" s="224"/>
      <c r="Z6" s="225"/>
    </row>
    <row r="7" spans="3:26" ht="129.75" customHeight="1" x14ac:dyDescent="0.2">
      <c r="C7" s="38" t="s">
        <v>5</v>
      </c>
      <c r="D7" s="229"/>
      <c r="E7" s="230"/>
      <c r="S7" s="31"/>
      <c r="T7" s="223"/>
      <c r="U7" s="224"/>
      <c r="V7" s="224"/>
      <c r="W7" s="224"/>
      <c r="X7" s="224"/>
      <c r="Y7" s="224"/>
      <c r="Z7" s="225"/>
    </row>
    <row r="8" spans="3:26" x14ac:dyDescent="0.2">
      <c r="C8" s="35"/>
      <c r="D8" s="36"/>
      <c r="E8" s="37"/>
      <c r="S8" s="31"/>
      <c r="T8" s="223"/>
      <c r="U8" s="224"/>
      <c r="V8" s="224"/>
      <c r="W8" s="224"/>
      <c r="X8" s="224"/>
      <c r="Y8" s="224"/>
      <c r="Z8" s="225"/>
    </row>
    <row r="9" spans="3:26" x14ac:dyDescent="0.2">
      <c r="C9" s="39" t="s">
        <v>6</v>
      </c>
      <c r="D9" s="40"/>
      <c r="E9" s="41"/>
      <c r="S9" s="31"/>
      <c r="T9" s="223"/>
      <c r="U9" s="224"/>
      <c r="V9" s="224"/>
      <c r="W9" s="224"/>
      <c r="X9" s="224"/>
      <c r="Y9" s="224"/>
      <c r="Z9" s="225"/>
    </row>
    <row r="10" spans="3:26" x14ac:dyDescent="0.2">
      <c r="C10" s="35" t="s">
        <v>7</v>
      </c>
      <c r="D10" s="40"/>
      <c r="E10" s="37"/>
      <c r="F10" s="42"/>
      <c r="S10" s="31"/>
      <c r="T10" s="223"/>
      <c r="U10" s="224"/>
      <c r="V10" s="224"/>
      <c r="W10" s="224"/>
      <c r="X10" s="224"/>
      <c r="Y10" s="224"/>
      <c r="Z10" s="225"/>
    </row>
    <row r="11" spans="3:26" x14ac:dyDescent="0.2">
      <c r="C11" s="35" t="s">
        <v>8</v>
      </c>
      <c r="D11" s="40"/>
      <c r="E11" s="37"/>
      <c r="F11" s="42"/>
      <c r="S11" s="31"/>
      <c r="T11" s="223"/>
      <c r="U11" s="224"/>
      <c r="V11" s="224"/>
      <c r="W11" s="224"/>
      <c r="X11" s="224"/>
      <c r="Y11" s="224"/>
      <c r="Z11" s="225"/>
    </row>
    <row r="12" spans="3:26" ht="13.5" thickBot="1" x14ac:dyDescent="0.25">
      <c r="C12" s="43"/>
      <c r="D12" s="44"/>
      <c r="E12" s="45"/>
      <c r="S12" s="31"/>
      <c r="T12" s="226"/>
      <c r="U12" s="227"/>
      <c r="V12" s="227"/>
      <c r="W12" s="227"/>
      <c r="X12" s="227"/>
      <c r="Y12" s="227"/>
      <c r="Z12" s="228"/>
    </row>
    <row r="13" spans="3:26" x14ac:dyDescent="0.2">
      <c r="S13" s="31"/>
      <c r="T13" s="31"/>
      <c r="U13" s="31"/>
      <c r="V13" s="31"/>
      <c r="W13" s="31"/>
      <c r="X13" s="31"/>
      <c r="Y13" s="31"/>
      <c r="Z13" s="31"/>
    </row>
    <row r="14" spans="3:26" ht="13.5" thickBot="1" x14ac:dyDescent="0.25">
      <c r="S14" s="31"/>
      <c r="T14" s="31"/>
      <c r="U14" s="31"/>
      <c r="V14" s="31"/>
      <c r="W14" s="31"/>
      <c r="X14" s="31"/>
      <c r="Y14" s="31"/>
      <c r="Z14" s="31"/>
    </row>
    <row r="15" spans="3:26" ht="16.5" thickTop="1" thickBot="1" x14ac:dyDescent="0.3">
      <c r="C15" s="75" t="s">
        <v>9</v>
      </c>
      <c r="S15" s="31"/>
      <c r="T15" s="31"/>
      <c r="U15" s="231" t="s">
        <v>10</v>
      </c>
      <c r="V15" s="232"/>
      <c r="W15" s="46"/>
      <c r="X15" s="31"/>
      <c r="Y15" s="31"/>
      <c r="Z15" s="31"/>
    </row>
    <row r="16" spans="3:26" ht="14.25" thickTop="1" thickBot="1" x14ac:dyDescent="0.25">
      <c r="S16" s="31"/>
      <c r="T16" s="31"/>
      <c r="U16" s="47" t="s">
        <v>11</v>
      </c>
      <c r="V16" s="48"/>
      <c r="W16" s="49"/>
      <c r="X16" s="31"/>
      <c r="Y16" s="31"/>
      <c r="Z16" s="31"/>
    </row>
    <row r="17" spans="2:26" ht="14.25" thickTop="1" thickBot="1" x14ac:dyDescent="0.25">
      <c r="B17" s="50" t="s">
        <v>12</v>
      </c>
      <c r="C17" s="51" t="s">
        <v>13</v>
      </c>
      <c r="D17" s="52" t="s">
        <v>14</v>
      </c>
      <c r="E17" s="53" t="s">
        <v>15</v>
      </c>
      <c r="S17" s="31"/>
      <c r="T17" s="54" t="s">
        <v>16</v>
      </c>
      <c r="U17" s="54" t="s">
        <v>17</v>
      </c>
      <c r="V17" s="55"/>
      <c r="W17" s="56"/>
      <c r="X17" s="31"/>
      <c r="Y17" s="31"/>
      <c r="Z17" s="31"/>
    </row>
    <row r="18" spans="2:26" ht="15.75" thickTop="1" x14ac:dyDescent="0.2">
      <c r="B18" s="57">
        <v>1</v>
      </c>
      <c r="C18" s="58"/>
      <c r="D18" s="59"/>
      <c r="E18" s="60"/>
      <c r="F18" s="42" t="s">
        <v>18</v>
      </c>
      <c r="S18" s="31"/>
      <c r="T18" s="61"/>
      <c r="U18" s="62"/>
      <c r="V18" s="63"/>
      <c r="W18" s="63"/>
      <c r="X18" s="31"/>
      <c r="Y18" s="31"/>
      <c r="Z18" s="31"/>
    </row>
    <row r="19" spans="2:26" ht="15" x14ac:dyDescent="0.2">
      <c r="B19" s="57">
        <v>2</v>
      </c>
      <c r="C19" s="58"/>
      <c r="D19" s="59"/>
      <c r="E19" s="60"/>
      <c r="F19" s="42" t="s">
        <v>19</v>
      </c>
      <c r="S19" s="31"/>
      <c r="T19" s="64"/>
      <c r="U19" s="65"/>
      <c r="V19" s="63"/>
      <c r="W19" s="63"/>
      <c r="X19" s="31"/>
      <c r="Y19" s="31"/>
      <c r="Z19" s="31"/>
    </row>
    <row r="20" spans="2:26" ht="15" x14ac:dyDescent="0.2">
      <c r="B20" s="57">
        <v>3</v>
      </c>
      <c r="C20" s="58"/>
      <c r="D20" s="59"/>
      <c r="E20" s="60"/>
      <c r="F20" s="42" t="s">
        <v>20</v>
      </c>
      <c r="S20" s="31"/>
      <c r="T20" s="64"/>
      <c r="U20" s="31"/>
      <c r="V20" s="63"/>
      <c r="W20" s="63"/>
      <c r="X20" s="31"/>
      <c r="Y20" s="31"/>
      <c r="Z20" s="31"/>
    </row>
    <row r="21" spans="2:26" ht="15" x14ac:dyDescent="0.2">
      <c r="B21" s="57">
        <v>4</v>
      </c>
      <c r="C21" s="58"/>
      <c r="D21" s="59"/>
      <c r="E21" s="60"/>
      <c r="F21" s="42" t="s">
        <v>21</v>
      </c>
      <c r="S21" s="31"/>
      <c r="T21" s="64"/>
      <c r="U21" s="66"/>
      <c r="V21" s="63"/>
      <c r="W21" s="63"/>
      <c r="X21" s="31"/>
      <c r="Y21" s="31"/>
      <c r="Z21" s="31"/>
    </row>
    <row r="22" spans="2:26" ht="15" x14ac:dyDescent="0.2">
      <c r="B22" s="57">
        <v>5</v>
      </c>
      <c r="C22" s="58"/>
      <c r="D22" s="59"/>
      <c r="E22" s="60"/>
      <c r="F22" s="42" t="s">
        <v>22</v>
      </c>
      <c r="S22" s="31"/>
      <c r="T22" s="64"/>
      <c r="U22" s="66"/>
      <c r="V22" s="63"/>
      <c r="W22" s="63"/>
      <c r="X22" s="31"/>
      <c r="Y22" s="31"/>
      <c r="Z22" s="31"/>
    </row>
    <row r="23" spans="2:26" ht="16.5" customHeight="1" x14ac:dyDescent="0.2">
      <c r="B23" s="57">
        <v>6</v>
      </c>
      <c r="C23" s="58"/>
      <c r="D23" s="59"/>
      <c r="E23" s="60"/>
      <c r="F23" s="42" t="s">
        <v>23</v>
      </c>
      <c r="S23" s="31"/>
      <c r="T23" s="64"/>
      <c r="U23" s="67"/>
      <c r="V23" s="63"/>
      <c r="W23" s="63"/>
      <c r="X23" s="31"/>
      <c r="Y23" s="31"/>
      <c r="Z23" s="31"/>
    </row>
    <row r="24" spans="2:26" ht="15" x14ac:dyDescent="0.2">
      <c r="B24" s="57">
        <v>7</v>
      </c>
      <c r="C24" s="58"/>
      <c r="D24" s="59"/>
      <c r="E24" s="60"/>
      <c r="F24" s="42" t="s">
        <v>24</v>
      </c>
      <c r="S24" s="31"/>
      <c r="T24" s="64"/>
      <c r="U24" s="66"/>
      <c r="V24" s="63"/>
      <c r="W24" s="63"/>
      <c r="X24" s="31"/>
      <c r="Y24" s="31"/>
      <c r="Z24" s="31"/>
    </row>
    <row r="25" spans="2:26" ht="15" x14ac:dyDescent="0.2">
      <c r="B25" s="57">
        <v>8</v>
      </c>
      <c r="C25" s="58"/>
      <c r="D25" s="59"/>
      <c r="E25" s="60"/>
      <c r="F25" s="42" t="s">
        <v>25</v>
      </c>
      <c r="S25" s="31"/>
      <c r="T25" s="68"/>
      <c r="U25" s="66"/>
      <c r="V25" s="63"/>
      <c r="W25" s="63"/>
      <c r="X25" s="31"/>
      <c r="Y25" s="31"/>
      <c r="Z25" s="31"/>
    </row>
    <row r="26" spans="2:26" ht="15" x14ac:dyDescent="0.2">
      <c r="B26" s="57">
        <v>9</v>
      </c>
      <c r="C26" s="58"/>
      <c r="D26" s="59"/>
      <c r="E26" s="60"/>
      <c r="F26" s="42" t="s">
        <v>26</v>
      </c>
      <c r="S26" s="31"/>
      <c r="T26" s="64"/>
      <c r="U26" s="66"/>
      <c r="V26" s="63"/>
      <c r="W26" s="63"/>
      <c r="X26" s="31"/>
      <c r="Y26" s="31"/>
      <c r="Z26" s="31"/>
    </row>
    <row r="27" spans="2:26" ht="15" x14ac:dyDescent="0.2">
      <c r="B27" s="57">
        <v>10</v>
      </c>
      <c r="C27" s="58"/>
      <c r="D27" s="59"/>
      <c r="E27" s="60"/>
      <c r="F27" s="42" t="s">
        <v>27</v>
      </c>
      <c r="S27" s="31"/>
      <c r="T27" s="69"/>
      <c r="U27" s="66"/>
      <c r="V27" s="63"/>
      <c r="W27" s="63"/>
      <c r="X27" s="31"/>
      <c r="Y27" s="31"/>
      <c r="Z27" s="31"/>
    </row>
    <row r="28" spans="2:26" ht="15" x14ac:dyDescent="0.2">
      <c r="B28" s="57">
        <v>11</v>
      </c>
      <c r="C28" s="58"/>
      <c r="D28" s="59"/>
      <c r="E28" s="60"/>
      <c r="F28" s="42" t="s">
        <v>28</v>
      </c>
      <c r="S28" s="31"/>
      <c r="T28" s="69"/>
      <c r="U28" s="66"/>
      <c r="V28" s="63"/>
      <c r="W28" s="63"/>
      <c r="X28" s="31"/>
      <c r="Y28" s="31"/>
      <c r="Z28" s="31"/>
    </row>
    <row r="29" spans="2:26" ht="15" x14ac:dyDescent="0.2">
      <c r="B29" s="57">
        <v>12</v>
      </c>
      <c r="C29" s="58"/>
      <c r="D29" s="59"/>
      <c r="E29" s="60"/>
      <c r="F29" s="42" t="s">
        <v>29</v>
      </c>
      <c r="S29" s="31"/>
      <c r="T29" s="64"/>
      <c r="U29" s="65"/>
      <c r="V29" s="63"/>
      <c r="W29" s="63"/>
      <c r="X29" s="31"/>
      <c r="Y29" s="31"/>
      <c r="Z29" s="31"/>
    </row>
    <row r="30" spans="2:26" ht="15.75" thickBot="1" x14ac:dyDescent="0.25">
      <c r="B30" s="57">
        <v>13</v>
      </c>
      <c r="C30" s="58"/>
      <c r="D30" s="59"/>
      <c r="E30" s="60"/>
      <c r="F30" s="42" t="s">
        <v>30</v>
      </c>
      <c r="S30" s="31"/>
      <c r="T30" s="70"/>
      <c r="U30" s="71"/>
      <c r="V30" s="72"/>
      <c r="W30" s="72"/>
      <c r="X30" s="31"/>
      <c r="Y30" s="31"/>
      <c r="Z30" s="31"/>
    </row>
    <row r="31" spans="2:26" ht="15.75" thickTop="1" x14ac:dyDescent="0.2">
      <c r="B31" s="57">
        <v>14</v>
      </c>
      <c r="C31" s="58"/>
      <c r="D31" s="59"/>
      <c r="E31" s="60"/>
      <c r="F31" s="42" t="s">
        <v>31</v>
      </c>
      <c r="S31" s="31"/>
      <c r="T31" s="31"/>
      <c r="U31" s="31"/>
      <c r="V31" s="73"/>
      <c r="W31" s="73"/>
      <c r="X31" s="31"/>
      <c r="Y31" s="31"/>
      <c r="Z31" s="31"/>
    </row>
    <row r="32" spans="2:26" ht="15" x14ac:dyDescent="0.2">
      <c r="B32" s="57">
        <v>15</v>
      </c>
      <c r="C32" s="58"/>
      <c r="D32" s="59"/>
      <c r="E32" s="60"/>
      <c r="F32" s="42" t="s">
        <v>32</v>
      </c>
      <c r="S32" s="31"/>
      <c r="T32" s="31"/>
      <c r="U32" s="31"/>
      <c r="V32" s="73"/>
      <c r="W32" s="73"/>
      <c r="X32" s="31"/>
      <c r="Y32" s="31"/>
      <c r="Z32" s="31"/>
    </row>
    <row r="33" spans="2:26" ht="15" x14ac:dyDescent="0.2">
      <c r="B33" s="57">
        <v>16</v>
      </c>
      <c r="C33" s="58"/>
      <c r="D33" s="59"/>
      <c r="E33" s="60"/>
      <c r="F33" s="42" t="s">
        <v>33</v>
      </c>
      <c r="S33" s="31"/>
      <c r="T33" s="31"/>
      <c r="U33" s="31"/>
      <c r="V33" s="73"/>
      <c r="W33" s="73"/>
      <c r="X33" s="31"/>
      <c r="Y33" s="31"/>
      <c r="Z33" s="31"/>
    </row>
    <row r="34" spans="2:26" ht="15" x14ac:dyDescent="0.2">
      <c r="B34" s="57">
        <v>17</v>
      </c>
      <c r="C34" s="58"/>
      <c r="D34" s="59"/>
      <c r="E34" s="60"/>
      <c r="F34" s="42" t="s">
        <v>34</v>
      </c>
      <c r="S34" s="31"/>
      <c r="T34" s="31"/>
      <c r="U34" s="31"/>
      <c r="V34" s="31"/>
      <c r="W34" s="31"/>
      <c r="X34" s="31"/>
      <c r="Y34" s="31"/>
      <c r="Z34" s="31"/>
    </row>
    <row r="35" spans="2:26" ht="15.75" thickBot="1" x14ac:dyDescent="0.25">
      <c r="B35" s="74">
        <v>18</v>
      </c>
      <c r="C35" s="58"/>
      <c r="D35" s="59"/>
      <c r="E35" s="60"/>
      <c r="F35" s="42" t="s">
        <v>35</v>
      </c>
      <c r="S35" s="31"/>
      <c r="T35" s="31"/>
      <c r="U35" s="31"/>
      <c r="V35" s="31"/>
      <c r="W35" s="31"/>
      <c r="X35" s="31"/>
      <c r="Y35" s="31"/>
      <c r="Z35" s="31"/>
    </row>
    <row r="36" spans="2:26" ht="15.75" thickBot="1" x14ac:dyDescent="0.25">
      <c r="B36" s="74">
        <f>B35+1</f>
        <v>19</v>
      </c>
      <c r="C36" s="58"/>
      <c r="D36" s="59"/>
      <c r="E36" s="60"/>
      <c r="F36" s="42" t="s">
        <v>36</v>
      </c>
    </row>
    <row r="37" spans="2:26" ht="15.75" thickBot="1" x14ac:dyDescent="0.25">
      <c r="B37" s="74">
        <f t="shared" ref="B37:B54" si="0">B36+1</f>
        <v>20</v>
      </c>
      <c r="C37" s="58"/>
      <c r="D37" s="59"/>
      <c r="E37" s="60"/>
      <c r="F37" s="42" t="s">
        <v>37</v>
      </c>
    </row>
    <row r="38" spans="2:26" ht="15.75" thickBot="1" x14ac:dyDescent="0.25">
      <c r="B38" s="74">
        <f t="shared" si="0"/>
        <v>21</v>
      </c>
      <c r="C38" s="58"/>
      <c r="D38" s="59"/>
      <c r="E38" s="60"/>
      <c r="F38" s="42" t="s">
        <v>38</v>
      </c>
    </row>
    <row r="39" spans="2:26" ht="15.75" thickBot="1" x14ac:dyDescent="0.25">
      <c r="B39" s="74">
        <f t="shared" si="0"/>
        <v>22</v>
      </c>
      <c r="C39" s="58"/>
      <c r="D39" s="59"/>
      <c r="E39" s="60"/>
      <c r="F39" s="42" t="s">
        <v>39</v>
      </c>
    </row>
    <row r="40" spans="2:26" ht="15.75" thickBot="1" x14ac:dyDescent="0.25">
      <c r="B40" s="74">
        <f t="shared" si="0"/>
        <v>23</v>
      </c>
      <c r="C40" s="58"/>
      <c r="D40" s="59"/>
      <c r="E40" s="60"/>
      <c r="F40" s="42" t="s">
        <v>40</v>
      </c>
    </row>
    <row r="41" spans="2:26" ht="15.75" thickBot="1" x14ac:dyDescent="0.25">
      <c r="B41" s="74">
        <f t="shared" si="0"/>
        <v>24</v>
      </c>
      <c r="C41" s="58"/>
      <c r="D41" s="59"/>
      <c r="E41" s="60"/>
      <c r="F41" s="42" t="s">
        <v>41</v>
      </c>
    </row>
    <row r="42" spans="2:26" ht="15.75" thickBot="1" x14ac:dyDescent="0.25">
      <c r="B42" s="74">
        <f t="shared" si="0"/>
        <v>25</v>
      </c>
      <c r="C42" s="58"/>
      <c r="D42" s="59"/>
      <c r="E42" s="60"/>
      <c r="F42" s="42" t="s">
        <v>42</v>
      </c>
    </row>
    <row r="43" spans="2:26" ht="15.75" thickBot="1" x14ac:dyDescent="0.25">
      <c r="B43" s="74">
        <f t="shared" si="0"/>
        <v>26</v>
      </c>
      <c r="C43" s="58"/>
      <c r="D43" s="59"/>
      <c r="E43" s="60"/>
      <c r="F43" s="42" t="s">
        <v>43</v>
      </c>
    </row>
    <row r="44" spans="2:26" ht="15.75" thickBot="1" x14ac:dyDescent="0.25">
      <c r="B44" s="74">
        <f t="shared" si="0"/>
        <v>27</v>
      </c>
      <c r="C44" s="58"/>
      <c r="D44" s="59"/>
      <c r="E44" s="60"/>
      <c r="F44" s="42" t="s">
        <v>44</v>
      </c>
    </row>
    <row r="45" spans="2:26" ht="15.75" thickBot="1" x14ac:dyDescent="0.25">
      <c r="B45" s="74">
        <f t="shared" si="0"/>
        <v>28</v>
      </c>
      <c r="C45" s="58"/>
      <c r="D45" s="59"/>
      <c r="E45" s="60"/>
      <c r="F45" s="42" t="s">
        <v>45</v>
      </c>
    </row>
    <row r="46" spans="2:26" ht="15.75" thickBot="1" x14ac:dyDescent="0.25">
      <c r="B46" s="74">
        <f t="shared" si="0"/>
        <v>29</v>
      </c>
      <c r="C46" s="58"/>
      <c r="D46" s="59"/>
      <c r="E46" s="60"/>
      <c r="F46" s="42" t="s">
        <v>46</v>
      </c>
    </row>
    <row r="47" spans="2:26" ht="15.75" thickBot="1" x14ac:dyDescent="0.25">
      <c r="B47" s="74">
        <f t="shared" si="0"/>
        <v>30</v>
      </c>
      <c r="C47" s="58"/>
      <c r="D47" s="59"/>
      <c r="E47" s="60"/>
      <c r="F47" s="42" t="s">
        <v>47</v>
      </c>
    </row>
    <row r="48" spans="2:26" ht="15.75" thickBot="1" x14ac:dyDescent="0.25">
      <c r="B48" s="74">
        <f t="shared" si="0"/>
        <v>31</v>
      </c>
      <c r="C48" s="58"/>
      <c r="D48" s="59"/>
      <c r="E48" s="60"/>
      <c r="F48" s="42" t="s">
        <v>48</v>
      </c>
    </row>
    <row r="49" spans="2:6" ht="15.75" thickBot="1" x14ac:dyDescent="0.25">
      <c r="B49" s="74">
        <f t="shared" si="0"/>
        <v>32</v>
      </c>
      <c r="C49" s="58"/>
      <c r="D49" s="59"/>
      <c r="E49" s="60"/>
      <c r="F49" s="42" t="s">
        <v>49</v>
      </c>
    </row>
    <row r="50" spans="2:6" ht="15.75" thickBot="1" x14ac:dyDescent="0.25">
      <c r="B50" s="74">
        <f t="shared" si="0"/>
        <v>33</v>
      </c>
      <c r="C50" s="58"/>
      <c r="D50" s="59"/>
      <c r="E50" s="60"/>
      <c r="F50" s="42" t="s">
        <v>50</v>
      </c>
    </row>
    <row r="51" spans="2:6" ht="15.75" thickBot="1" x14ac:dyDescent="0.25">
      <c r="B51" s="74">
        <f t="shared" si="0"/>
        <v>34</v>
      </c>
      <c r="C51" s="58"/>
      <c r="D51" s="59"/>
      <c r="E51" s="60"/>
      <c r="F51" s="42"/>
    </row>
    <row r="52" spans="2:6" ht="15.75" thickBot="1" x14ac:dyDescent="0.25">
      <c r="B52" s="74">
        <f t="shared" si="0"/>
        <v>35</v>
      </c>
      <c r="C52" s="58"/>
      <c r="D52" s="59"/>
      <c r="E52" s="60"/>
      <c r="F52" s="42"/>
    </row>
    <row r="53" spans="2:6" ht="15.75" thickBot="1" x14ac:dyDescent="0.25">
      <c r="B53" s="74">
        <f t="shared" si="0"/>
        <v>36</v>
      </c>
      <c r="C53" s="58"/>
      <c r="D53" s="59"/>
      <c r="E53" s="60"/>
      <c r="F53" s="42"/>
    </row>
    <row r="54" spans="2:6" ht="15.75" thickBot="1" x14ac:dyDescent="0.25">
      <c r="B54" s="74">
        <f t="shared" si="0"/>
        <v>37</v>
      </c>
      <c r="C54" s="58"/>
      <c r="D54" s="59"/>
      <c r="E54" s="60"/>
      <c r="F54" s="42"/>
    </row>
    <row r="55" spans="2:6" x14ac:dyDescent="0.2">
      <c r="F55" s="42"/>
    </row>
    <row r="56" spans="2:6" x14ac:dyDescent="0.2">
      <c r="F56" s="42"/>
    </row>
    <row r="57" spans="2:6" x14ac:dyDescent="0.2">
      <c r="F57" s="42"/>
    </row>
  </sheetData>
  <mergeCells count="4">
    <mergeCell ref="T2:Z12"/>
    <mergeCell ref="D5:E6"/>
    <mergeCell ref="D7:E7"/>
    <mergeCell ref="U15:V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5"/>
  <sheetViews>
    <sheetView view="pageBreakPreview" zoomScale="70" zoomScaleNormal="100" zoomScaleSheetLayoutView="70" workbookViewId="0">
      <selection activeCell="D5" sqref="D5:D6"/>
    </sheetView>
  </sheetViews>
  <sheetFormatPr defaultColWidth="8.85546875" defaultRowHeight="11.25" x14ac:dyDescent="0.25"/>
  <cols>
    <col min="1" max="1" width="5.7109375" style="26" customWidth="1"/>
    <col min="2" max="2" width="16.7109375" style="15" customWidth="1"/>
    <col min="3" max="3" width="10.7109375" style="15" customWidth="1"/>
    <col min="4" max="4" width="33.7109375" style="15" customWidth="1"/>
    <col min="5" max="7" width="9.5703125" style="27" customWidth="1"/>
    <col min="8" max="8" width="16.7109375" style="15" customWidth="1"/>
    <col min="9" max="9" width="33.7109375" style="15" customWidth="1"/>
    <col min="10" max="10" width="11" style="15" customWidth="1"/>
    <col min="11" max="13" width="9.5703125" style="27" customWidth="1"/>
    <col min="14" max="14" width="9.28515625" style="27" customWidth="1"/>
    <col min="15" max="15" width="33.7109375" style="27" customWidth="1"/>
    <col min="16" max="28" width="8.85546875" style="24"/>
    <col min="29" max="32" width="0" style="24" hidden="1" customWidth="1"/>
    <col min="33" max="16384" width="8.85546875" style="24"/>
  </cols>
  <sheetData>
    <row r="1" spans="1:32" s="20" customFormat="1" ht="22.9" customHeight="1" x14ac:dyDescent="0.25">
      <c r="A1" s="242" t="s">
        <v>51</v>
      </c>
      <c r="B1" s="242"/>
      <c r="C1" s="238"/>
      <c r="D1" s="238"/>
      <c r="E1" s="17"/>
      <c r="F1" s="17"/>
      <c r="G1" s="17"/>
      <c r="H1" s="18"/>
      <c r="I1" s="18"/>
      <c r="J1" s="18"/>
      <c r="K1" s="17"/>
      <c r="L1" s="17"/>
      <c r="M1" s="19"/>
      <c r="N1" s="17"/>
      <c r="O1" s="17"/>
      <c r="AC1" s="233" t="s">
        <v>52</v>
      </c>
      <c r="AD1" s="233"/>
      <c r="AE1" s="233" t="s">
        <v>53</v>
      </c>
      <c r="AF1" s="233"/>
    </row>
    <row r="2" spans="1:32" s="1" customFormat="1" ht="12.75" x14ac:dyDescent="0.2">
      <c r="A2" s="21"/>
      <c r="B2" s="4"/>
      <c r="C2" s="4"/>
      <c r="D2" s="4"/>
      <c r="E2" s="3"/>
      <c r="F2" s="3"/>
      <c r="G2" s="3"/>
      <c r="H2" s="4"/>
      <c r="I2" s="4"/>
      <c r="J2" s="4"/>
      <c r="K2" s="3"/>
      <c r="L2" s="3"/>
      <c r="M2" s="3"/>
      <c r="N2" s="3"/>
      <c r="O2" s="3"/>
      <c r="AC2" s="20" t="s">
        <v>54</v>
      </c>
      <c r="AD2" s="1">
        <v>0</v>
      </c>
      <c r="AE2" s="1" t="s">
        <v>55</v>
      </c>
      <c r="AF2" s="20">
        <v>0.1</v>
      </c>
    </row>
    <row r="3" spans="1:32" s="20" customFormat="1" ht="22.9" customHeight="1" x14ac:dyDescent="0.2">
      <c r="A3" s="242" t="s">
        <v>56</v>
      </c>
      <c r="B3" s="242"/>
      <c r="C3" s="238"/>
      <c r="D3" s="238"/>
      <c r="E3" s="246" t="s">
        <v>57</v>
      </c>
      <c r="F3" s="246"/>
      <c r="G3" s="238"/>
      <c r="H3" s="238"/>
      <c r="I3" s="116" t="s">
        <v>58</v>
      </c>
      <c r="J3" s="243"/>
      <c r="K3" s="243"/>
      <c r="L3" s="243"/>
      <c r="M3" s="243"/>
      <c r="N3" s="243"/>
      <c r="O3" s="243"/>
      <c r="AC3" s="1" t="s">
        <v>55</v>
      </c>
      <c r="AD3" s="20">
        <v>0.1</v>
      </c>
      <c r="AE3" s="20" t="s">
        <v>59</v>
      </c>
      <c r="AF3" s="1">
        <v>0.3</v>
      </c>
    </row>
    <row r="4" spans="1:32" s="1" customFormat="1" ht="12.75" x14ac:dyDescent="0.2">
      <c r="A4" s="21"/>
      <c r="B4" s="4"/>
      <c r="C4" s="4"/>
      <c r="D4" s="4"/>
      <c r="E4" s="3"/>
      <c r="F4" s="3"/>
      <c r="G4" s="3"/>
      <c r="H4" s="4"/>
      <c r="I4" s="4"/>
      <c r="J4" s="4"/>
      <c r="K4" s="3"/>
      <c r="L4" s="3"/>
      <c r="M4" s="3"/>
      <c r="N4" s="3"/>
      <c r="O4" s="3"/>
      <c r="AC4" s="20" t="s">
        <v>59</v>
      </c>
      <c r="AD4" s="1">
        <v>0.3</v>
      </c>
      <c r="AE4" s="1" t="s">
        <v>60</v>
      </c>
      <c r="AF4" s="1">
        <v>0.5</v>
      </c>
    </row>
    <row r="5" spans="1:32" s="22" customFormat="1" ht="26.45" customHeight="1" x14ac:dyDescent="0.2">
      <c r="A5" s="234" t="s">
        <v>61</v>
      </c>
      <c r="B5" s="234" t="s">
        <v>62</v>
      </c>
      <c r="C5" s="236" t="s">
        <v>63</v>
      </c>
      <c r="D5" s="234" t="s">
        <v>64</v>
      </c>
      <c r="E5" s="239" t="s">
        <v>65</v>
      </c>
      <c r="F5" s="240"/>
      <c r="G5" s="241"/>
      <c r="H5" s="239" t="s">
        <v>66</v>
      </c>
      <c r="I5" s="240"/>
      <c r="J5" s="241"/>
      <c r="K5" s="239" t="s">
        <v>67</v>
      </c>
      <c r="L5" s="240"/>
      <c r="M5" s="241"/>
      <c r="N5" s="244" t="s">
        <v>68</v>
      </c>
      <c r="O5" s="234" t="s">
        <v>69</v>
      </c>
      <c r="AC5" s="22" t="s">
        <v>70</v>
      </c>
      <c r="AD5" s="22">
        <v>0.5</v>
      </c>
      <c r="AE5" s="22" t="s">
        <v>71</v>
      </c>
      <c r="AF5" s="22">
        <v>0.7</v>
      </c>
    </row>
    <row r="6" spans="1:32" s="22" customFormat="1" ht="26.45" customHeight="1" x14ac:dyDescent="0.2">
      <c r="A6" s="235"/>
      <c r="B6" s="235"/>
      <c r="C6" s="237"/>
      <c r="D6" s="235"/>
      <c r="E6" s="16" t="s">
        <v>72</v>
      </c>
      <c r="F6" s="16" t="s">
        <v>53</v>
      </c>
      <c r="G6" s="16" t="s">
        <v>73</v>
      </c>
      <c r="H6" s="115" t="s">
        <v>74</v>
      </c>
      <c r="I6" s="115" t="s">
        <v>75</v>
      </c>
      <c r="J6" s="115" t="s">
        <v>76</v>
      </c>
      <c r="K6" s="16" t="s">
        <v>52</v>
      </c>
      <c r="L6" s="16" t="s">
        <v>53</v>
      </c>
      <c r="M6" s="16" t="s">
        <v>73</v>
      </c>
      <c r="N6" s="245"/>
      <c r="O6" s="235"/>
      <c r="AC6" s="22" t="s">
        <v>71</v>
      </c>
      <c r="AD6" s="22">
        <v>0.7</v>
      </c>
      <c r="AE6" s="22" t="s">
        <v>77</v>
      </c>
      <c r="AF6" s="22">
        <v>0.9</v>
      </c>
    </row>
    <row r="7" spans="1:32" x14ac:dyDescent="0.25">
      <c r="A7" s="23"/>
      <c r="B7" s="5"/>
      <c r="C7" s="6"/>
      <c r="D7" s="6"/>
      <c r="E7" s="13"/>
      <c r="F7" s="13"/>
      <c r="G7" s="7">
        <f>IF(AND(E7&lt;&gt;"",F7&lt;&gt;""),(VLOOKUP(E7,$AC$2:$AD$7,2,FALSE)*VLOOKUP(F7,$AE$2:$AF$6,2,FALSE)),0)</f>
        <v>0</v>
      </c>
      <c r="H7" s="8"/>
      <c r="I7" s="8"/>
      <c r="J7" s="8"/>
      <c r="K7" s="13"/>
      <c r="L7" s="13"/>
      <c r="M7" s="7">
        <f>IF(C7="Opportunity",0.01,IF(AND(K7&lt;&gt;"",L7&lt;&gt;""),(VLOOKUP(K7,$AC$2:$AD$7,2,FALSE))*(VLOOKUP(L7,$AE$2:$AF$6,2,FALSE)),0))</f>
        <v>0</v>
      </c>
      <c r="N7" s="7"/>
      <c r="O7" s="9"/>
      <c r="AC7" s="24" t="s">
        <v>77</v>
      </c>
      <c r="AD7" s="24">
        <v>0.9</v>
      </c>
    </row>
    <row r="8" spans="1:32" x14ac:dyDescent="0.25">
      <c r="A8" s="23"/>
      <c r="B8" s="5"/>
      <c r="C8" s="6"/>
      <c r="D8" s="6"/>
      <c r="E8" s="13"/>
      <c r="F8" s="13"/>
      <c r="G8" s="7">
        <f t="shared" ref="G8:G71" si="0">IF(AND(E8&lt;&gt;"",F8&lt;&gt;""),(VLOOKUP(E8,$AC$2:$AD$7,2,FALSE)*VLOOKUP(F8,$AE$2:$AF$6,2,FALSE)),0)</f>
        <v>0</v>
      </c>
      <c r="H8" s="10"/>
      <c r="I8" s="10"/>
      <c r="J8" s="8"/>
      <c r="K8" s="13"/>
      <c r="L8" s="13"/>
      <c r="M8" s="7">
        <f t="shared" ref="M8:M71" si="1">IF(C8="Opportunity",0.01,IF(AND(K8&lt;&gt;"",L8&lt;&gt;""),(VLOOKUP(K8,$AC$2:$AD$7,2,FALSE))*(VLOOKUP(L8,$AE$2:$AF$6,2,FALSE)),0))</f>
        <v>0</v>
      </c>
      <c r="N8" s="7"/>
      <c r="O8" s="11"/>
    </row>
    <row r="9" spans="1:32" x14ac:dyDescent="0.25">
      <c r="A9" s="23"/>
      <c r="B9" s="5"/>
      <c r="C9" s="6"/>
      <c r="D9" s="6"/>
      <c r="E9" s="13"/>
      <c r="F9" s="13"/>
      <c r="G9" s="7">
        <f t="shared" si="0"/>
        <v>0</v>
      </c>
      <c r="H9" s="10"/>
      <c r="I9" s="8"/>
      <c r="J9" s="8"/>
      <c r="K9" s="13"/>
      <c r="L9" s="13"/>
      <c r="M9" s="7">
        <f t="shared" si="1"/>
        <v>0</v>
      </c>
      <c r="N9" s="7"/>
      <c r="O9" s="9"/>
    </row>
    <row r="10" spans="1:32" x14ac:dyDescent="0.25">
      <c r="A10" s="23"/>
      <c r="B10" s="5"/>
      <c r="C10" s="6"/>
      <c r="D10" s="6"/>
      <c r="E10" s="13"/>
      <c r="F10" s="13"/>
      <c r="G10" s="7">
        <f t="shared" si="0"/>
        <v>0</v>
      </c>
      <c r="H10" s="10"/>
      <c r="I10" s="8"/>
      <c r="J10" s="8"/>
      <c r="K10" s="13"/>
      <c r="L10" s="13"/>
      <c r="M10" s="7">
        <f t="shared" si="1"/>
        <v>0</v>
      </c>
      <c r="N10" s="7"/>
      <c r="O10" s="9"/>
    </row>
    <row r="11" spans="1:32" x14ac:dyDescent="0.25">
      <c r="A11" s="23" t="str">
        <f>IF(ISBLANK(D11),"",COUNTA($D$7:D11))</f>
        <v/>
      </c>
      <c r="B11" s="5"/>
      <c r="C11" s="6"/>
      <c r="D11" s="6"/>
      <c r="E11" s="13"/>
      <c r="F11" s="13"/>
      <c r="G11" s="7">
        <f t="shared" si="0"/>
        <v>0</v>
      </c>
      <c r="H11" s="10"/>
      <c r="I11" s="8"/>
      <c r="J11" s="8"/>
      <c r="K11" s="13"/>
      <c r="L11" s="13"/>
      <c r="M11" s="7">
        <f t="shared" si="1"/>
        <v>0</v>
      </c>
      <c r="N11" s="7"/>
      <c r="O11" s="9"/>
    </row>
    <row r="12" spans="1:32" x14ac:dyDescent="0.25">
      <c r="A12" s="23" t="str">
        <f>IF(ISBLANK(D12),"",COUNTA($D$7:D12))</f>
        <v/>
      </c>
      <c r="B12" s="5"/>
      <c r="C12" s="6"/>
      <c r="D12" s="6"/>
      <c r="E12" s="13"/>
      <c r="F12" s="13"/>
      <c r="G12" s="7">
        <f t="shared" si="0"/>
        <v>0</v>
      </c>
      <c r="H12" s="10"/>
      <c r="I12" s="10"/>
      <c r="J12" s="8"/>
      <c r="K12" s="13"/>
      <c r="L12" s="13"/>
      <c r="M12" s="7">
        <f t="shared" si="1"/>
        <v>0</v>
      </c>
      <c r="N12" s="7"/>
      <c r="O12" s="9"/>
    </row>
    <row r="13" spans="1:32" x14ac:dyDescent="0.25">
      <c r="A13" s="23" t="str">
        <f>IF(ISBLANK(D13),"",COUNTA($D$7:D13))</f>
        <v/>
      </c>
      <c r="B13" s="5"/>
      <c r="C13" s="6"/>
      <c r="D13" s="6"/>
      <c r="E13" s="13"/>
      <c r="F13" s="13"/>
      <c r="G13" s="7">
        <f t="shared" si="0"/>
        <v>0</v>
      </c>
      <c r="H13" s="10"/>
      <c r="I13" s="8"/>
      <c r="J13" s="8"/>
      <c r="K13" s="13"/>
      <c r="L13" s="13"/>
      <c r="M13" s="7">
        <f t="shared" si="1"/>
        <v>0</v>
      </c>
      <c r="N13" s="7"/>
      <c r="O13" s="9"/>
    </row>
    <row r="14" spans="1:32" x14ac:dyDescent="0.25">
      <c r="A14" s="23" t="str">
        <f>IF(ISBLANK(D14),"",COUNTA($D$7:D14))</f>
        <v/>
      </c>
      <c r="B14" s="5"/>
      <c r="C14" s="6"/>
      <c r="D14" s="6"/>
      <c r="E14" s="13"/>
      <c r="F14" s="13"/>
      <c r="G14" s="7">
        <f t="shared" si="0"/>
        <v>0</v>
      </c>
      <c r="H14" s="10"/>
      <c r="I14" s="8"/>
      <c r="J14" s="8"/>
      <c r="K14" s="13"/>
      <c r="L14" s="13"/>
      <c r="M14" s="7">
        <f t="shared" si="1"/>
        <v>0</v>
      </c>
      <c r="N14" s="7"/>
      <c r="O14" s="9"/>
    </row>
    <row r="15" spans="1:32" x14ac:dyDescent="0.25">
      <c r="A15" s="23" t="str">
        <f>IF(ISBLANK(D15),"",COUNTA($D$7:D15))</f>
        <v/>
      </c>
      <c r="B15" s="5"/>
      <c r="C15" s="6"/>
      <c r="D15" s="6"/>
      <c r="E15" s="13"/>
      <c r="F15" s="13"/>
      <c r="G15" s="7">
        <f t="shared" si="0"/>
        <v>0</v>
      </c>
      <c r="H15" s="10"/>
      <c r="I15" s="8"/>
      <c r="J15" s="8"/>
      <c r="K15" s="13"/>
      <c r="L15" s="13"/>
      <c r="M15" s="7">
        <f t="shared" si="1"/>
        <v>0</v>
      </c>
      <c r="N15" s="7"/>
      <c r="O15" s="9"/>
    </row>
    <row r="16" spans="1:32" x14ac:dyDescent="0.25">
      <c r="A16" s="23" t="str">
        <f>IF(ISBLANK(D16),"",COUNTA($D$7:D16))</f>
        <v/>
      </c>
      <c r="B16" s="5"/>
      <c r="C16" s="6"/>
      <c r="D16" s="6"/>
      <c r="E16" s="13"/>
      <c r="F16" s="13"/>
      <c r="G16" s="7">
        <f t="shared" si="0"/>
        <v>0</v>
      </c>
      <c r="H16" s="10"/>
      <c r="I16" s="8"/>
      <c r="J16" s="8"/>
      <c r="K16" s="13"/>
      <c r="L16" s="13"/>
      <c r="M16" s="7">
        <f t="shared" si="1"/>
        <v>0</v>
      </c>
      <c r="N16" s="7"/>
      <c r="O16" s="9"/>
    </row>
    <row r="17" spans="1:15" x14ac:dyDescent="0.25">
      <c r="A17" s="23" t="str">
        <f>IF(ISBLANK(D17),"",COUNTA($D$7:D17))</f>
        <v/>
      </c>
      <c r="B17" s="5"/>
      <c r="C17" s="6"/>
      <c r="D17" s="6"/>
      <c r="E17" s="13"/>
      <c r="F17" s="13"/>
      <c r="G17" s="7">
        <f t="shared" si="0"/>
        <v>0</v>
      </c>
      <c r="H17" s="8"/>
      <c r="I17" s="8"/>
      <c r="J17" s="8"/>
      <c r="K17" s="13"/>
      <c r="L17" s="13"/>
      <c r="M17" s="7">
        <f t="shared" si="1"/>
        <v>0</v>
      </c>
      <c r="N17" s="7"/>
      <c r="O17" s="9"/>
    </row>
    <row r="18" spans="1:15" x14ac:dyDescent="0.25">
      <c r="A18" s="23" t="str">
        <f>IF(ISBLANK(D18),"",COUNTA($D$7:D18))</f>
        <v/>
      </c>
      <c r="B18" s="5"/>
      <c r="C18" s="6"/>
      <c r="D18" s="6"/>
      <c r="E18" s="13"/>
      <c r="F18" s="13"/>
      <c r="G18" s="7">
        <f t="shared" si="0"/>
        <v>0</v>
      </c>
      <c r="H18" s="8"/>
      <c r="I18" s="8"/>
      <c r="J18" s="8"/>
      <c r="K18" s="13"/>
      <c r="L18" s="13"/>
      <c r="M18" s="7">
        <f t="shared" si="1"/>
        <v>0</v>
      </c>
      <c r="N18" s="7"/>
      <c r="O18" s="9"/>
    </row>
    <row r="19" spans="1:15" x14ac:dyDescent="0.25">
      <c r="A19" s="23" t="str">
        <f>IF(ISBLANK(D19),"",COUNTA($D$7:D19))</f>
        <v/>
      </c>
      <c r="B19" s="5"/>
      <c r="C19" s="6"/>
      <c r="D19" s="6"/>
      <c r="E19" s="13"/>
      <c r="F19" s="13"/>
      <c r="G19" s="7">
        <f t="shared" si="0"/>
        <v>0</v>
      </c>
      <c r="H19" s="8"/>
      <c r="I19" s="8"/>
      <c r="J19" s="8"/>
      <c r="K19" s="13"/>
      <c r="L19" s="13"/>
      <c r="M19" s="7">
        <f t="shared" si="1"/>
        <v>0</v>
      </c>
      <c r="N19" s="7"/>
      <c r="O19" s="9"/>
    </row>
    <row r="20" spans="1:15" x14ac:dyDescent="0.25">
      <c r="A20" s="23" t="str">
        <f>IF(ISBLANK(D20),"",COUNTA($D$7:D20))</f>
        <v/>
      </c>
      <c r="B20" s="5"/>
      <c r="C20" s="6"/>
      <c r="D20" s="6"/>
      <c r="E20" s="13"/>
      <c r="F20" s="13"/>
      <c r="G20" s="7">
        <f t="shared" si="0"/>
        <v>0</v>
      </c>
      <c r="H20" s="8"/>
      <c r="I20" s="8"/>
      <c r="J20" s="8"/>
      <c r="K20" s="13"/>
      <c r="L20" s="13"/>
      <c r="M20" s="7">
        <f t="shared" si="1"/>
        <v>0</v>
      </c>
      <c r="N20" s="7"/>
      <c r="O20" s="9"/>
    </row>
    <row r="21" spans="1:15" x14ac:dyDescent="0.25">
      <c r="A21" s="23" t="str">
        <f>IF(ISBLANK(D21),"",COUNTA($D$7:D21))</f>
        <v/>
      </c>
      <c r="B21" s="5"/>
      <c r="C21" s="6"/>
      <c r="D21" s="6"/>
      <c r="E21" s="13"/>
      <c r="F21" s="13"/>
      <c r="G21" s="7">
        <f t="shared" si="0"/>
        <v>0</v>
      </c>
      <c r="H21" s="8"/>
      <c r="I21" s="8"/>
      <c r="J21" s="8"/>
      <c r="K21" s="13"/>
      <c r="L21" s="13"/>
      <c r="M21" s="7">
        <f t="shared" si="1"/>
        <v>0</v>
      </c>
      <c r="N21" s="7"/>
      <c r="O21" s="9"/>
    </row>
    <row r="22" spans="1:15" x14ac:dyDescent="0.25">
      <c r="A22" s="23" t="str">
        <f>IF(ISBLANK(D22),"",COUNTA($D$7:D22))</f>
        <v/>
      </c>
      <c r="B22" s="5"/>
      <c r="C22" s="6"/>
      <c r="D22" s="6"/>
      <c r="E22" s="13"/>
      <c r="F22" s="13"/>
      <c r="G22" s="7">
        <f t="shared" si="0"/>
        <v>0</v>
      </c>
      <c r="H22" s="8"/>
      <c r="I22" s="8"/>
      <c r="J22" s="8"/>
      <c r="K22" s="13"/>
      <c r="L22" s="13"/>
      <c r="M22" s="7">
        <f t="shared" si="1"/>
        <v>0</v>
      </c>
      <c r="N22" s="7"/>
      <c r="O22" s="9"/>
    </row>
    <row r="23" spans="1:15" x14ac:dyDescent="0.25">
      <c r="A23" s="23" t="str">
        <f>IF(ISBLANK(D23),"",COUNTA($D$7:D23))</f>
        <v/>
      </c>
      <c r="B23" s="5"/>
      <c r="C23" s="6"/>
      <c r="D23" s="6"/>
      <c r="E23" s="13"/>
      <c r="F23" s="13"/>
      <c r="G23" s="7">
        <f t="shared" si="0"/>
        <v>0</v>
      </c>
      <c r="H23" s="8"/>
      <c r="I23" s="8"/>
      <c r="J23" s="8"/>
      <c r="K23" s="13"/>
      <c r="L23" s="13"/>
      <c r="M23" s="7">
        <f t="shared" si="1"/>
        <v>0</v>
      </c>
      <c r="N23" s="7"/>
      <c r="O23" s="9"/>
    </row>
    <row r="24" spans="1:15" x14ac:dyDescent="0.25">
      <c r="A24" s="23" t="str">
        <f>IF(ISBLANK(D24),"",COUNTA($D$7:D24))</f>
        <v/>
      </c>
      <c r="B24" s="5"/>
      <c r="C24" s="6"/>
      <c r="D24" s="6"/>
      <c r="E24" s="13"/>
      <c r="F24" s="13"/>
      <c r="G24" s="7">
        <f t="shared" si="0"/>
        <v>0</v>
      </c>
      <c r="H24" s="8"/>
      <c r="I24" s="8"/>
      <c r="J24" s="8"/>
      <c r="K24" s="13"/>
      <c r="L24" s="13"/>
      <c r="M24" s="7">
        <f t="shared" si="1"/>
        <v>0</v>
      </c>
      <c r="N24" s="7"/>
      <c r="O24" s="9"/>
    </row>
    <row r="25" spans="1:15" x14ac:dyDescent="0.25">
      <c r="A25" s="23" t="str">
        <f>IF(ISBLANK(D25),"",COUNTA($D$7:D25))</f>
        <v/>
      </c>
      <c r="B25" s="5"/>
      <c r="C25" s="6"/>
      <c r="D25" s="6"/>
      <c r="E25" s="13"/>
      <c r="F25" s="13"/>
      <c r="G25" s="7">
        <f t="shared" si="0"/>
        <v>0</v>
      </c>
      <c r="H25" s="8"/>
      <c r="I25" s="8"/>
      <c r="J25" s="8"/>
      <c r="K25" s="13"/>
      <c r="L25" s="13"/>
      <c r="M25" s="7">
        <f t="shared" si="1"/>
        <v>0</v>
      </c>
      <c r="N25" s="7"/>
      <c r="O25" s="9"/>
    </row>
    <row r="26" spans="1:15" x14ac:dyDescent="0.25">
      <c r="A26" s="23" t="str">
        <f>IF(ISBLANK(D26),"",COUNTA($D$7:D26))</f>
        <v/>
      </c>
      <c r="B26" s="5"/>
      <c r="C26" s="6"/>
      <c r="D26" s="6"/>
      <c r="E26" s="13"/>
      <c r="F26" s="13"/>
      <c r="G26" s="7">
        <f t="shared" si="0"/>
        <v>0</v>
      </c>
      <c r="H26" s="8"/>
      <c r="I26" s="8"/>
      <c r="J26" s="8"/>
      <c r="K26" s="13"/>
      <c r="L26" s="13"/>
      <c r="M26" s="7">
        <f t="shared" si="1"/>
        <v>0</v>
      </c>
      <c r="N26" s="7"/>
      <c r="O26" s="9"/>
    </row>
    <row r="27" spans="1:15" x14ac:dyDescent="0.25">
      <c r="A27" s="23" t="str">
        <f>IF(ISBLANK(D27),"",COUNTA($D$7:D27))</f>
        <v/>
      </c>
      <c r="B27" s="5"/>
      <c r="C27" s="6"/>
      <c r="D27" s="6"/>
      <c r="E27" s="13"/>
      <c r="F27" s="13"/>
      <c r="G27" s="7">
        <f t="shared" si="0"/>
        <v>0</v>
      </c>
      <c r="H27" s="8"/>
      <c r="I27" s="8"/>
      <c r="J27" s="8"/>
      <c r="K27" s="13"/>
      <c r="L27" s="13"/>
      <c r="M27" s="7">
        <f t="shared" si="1"/>
        <v>0</v>
      </c>
      <c r="N27" s="7"/>
      <c r="O27" s="9"/>
    </row>
    <row r="28" spans="1:15" x14ac:dyDescent="0.25">
      <c r="A28" s="23" t="str">
        <f>IF(ISBLANK(D28),"",COUNTA($D$7:D28))</f>
        <v/>
      </c>
      <c r="B28" s="5"/>
      <c r="C28" s="6"/>
      <c r="D28" s="6"/>
      <c r="E28" s="13"/>
      <c r="F28" s="13"/>
      <c r="G28" s="7">
        <f t="shared" si="0"/>
        <v>0</v>
      </c>
      <c r="H28" s="8"/>
      <c r="I28" s="8"/>
      <c r="J28" s="8"/>
      <c r="K28" s="13"/>
      <c r="L28" s="13"/>
      <c r="M28" s="7">
        <f t="shared" si="1"/>
        <v>0</v>
      </c>
      <c r="N28" s="7"/>
      <c r="O28" s="9"/>
    </row>
    <row r="29" spans="1:15" x14ac:dyDescent="0.25">
      <c r="A29" s="23" t="str">
        <f>IF(ISBLANK(D29),"",COUNTA($D$7:D29))</f>
        <v/>
      </c>
      <c r="B29" s="5"/>
      <c r="C29" s="6"/>
      <c r="D29" s="6"/>
      <c r="E29" s="13"/>
      <c r="F29" s="13"/>
      <c r="G29" s="7">
        <f t="shared" si="0"/>
        <v>0</v>
      </c>
      <c r="H29" s="8"/>
      <c r="I29" s="8"/>
      <c r="J29" s="8"/>
      <c r="K29" s="13"/>
      <c r="L29" s="13"/>
      <c r="M29" s="7">
        <f t="shared" si="1"/>
        <v>0</v>
      </c>
      <c r="N29" s="7"/>
      <c r="O29" s="9"/>
    </row>
    <row r="30" spans="1:15" x14ac:dyDescent="0.25">
      <c r="A30" s="23" t="str">
        <f>IF(ISBLANK(D30),"",COUNTA($D$7:D30))</f>
        <v/>
      </c>
      <c r="B30" s="5"/>
      <c r="C30" s="6"/>
      <c r="D30" s="6"/>
      <c r="E30" s="13"/>
      <c r="F30" s="13"/>
      <c r="G30" s="7">
        <f t="shared" si="0"/>
        <v>0</v>
      </c>
      <c r="H30" s="8"/>
      <c r="I30" s="8"/>
      <c r="J30" s="8"/>
      <c r="K30" s="13"/>
      <c r="L30" s="13"/>
      <c r="M30" s="7">
        <f t="shared" si="1"/>
        <v>0</v>
      </c>
      <c r="N30" s="7"/>
      <c r="O30" s="9"/>
    </row>
    <row r="31" spans="1:15" x14ac:dyDescent="0.25">
      <c r="A31" s="23" t="str">
        <f>IF(ISBLANK(D31),"",COUNTA($D$7:D31))</f>
        <v/>
      </c>
      <c r="B31" s="5"/>
      <c r="C31" s="6"/>
      <c r="D31" s="6"/>
      <c r="E31" s="13"/>
      <c r="F31" s="13"/>
      <c r="G31" s="7">
        <f t="shared" si="0"/>
        <v>0</v>
      </c>
      <c r="H31" s="8"/>
      <c r="I31" s="8"/>
      <c r="J31" s="8"/>
      <c r="K31" s="13"/>
      <c r="L31" s="13"/>
      <c r="M31" s="7">
        <f t="shared" si="1"/>
        <v>0</v>
      </c>
      <c r="N31" s="7"/>
      <c r="O31" s="9"/>
    </row>
    <row r="32" spans="1:15" x14ac:dyDescent="0.25">
      <c r="A32" s="23" t="str">
        <f>IF(ISBLANK(D32),"",COUNTA($D$7:D32))</f>
        <v/>
      </c>
      <c r="B32" s="5"/>
      <c r="C32" s="6"/>
      <c r="D32" s="6"/>
      <c r="E32" s="13"/>
      <c r="F32" s="13"/>
      <c r="G32" s="7">
        <f t="shared" si="0"/>
        <v>0</v>
      </c>
      <c r="H32" s="8"/>
      <c r="I32" s="8"/>
      <c r="J32" s="8"/>
      <c r="K32" s="13"/>
      <c r="L32" s="13"/>
      <c r="M32" s="7">
        <f t="shared" si="1"/>
        <v>0</v>
      </c>
      <c r="N32" s="7"/>
      <c r="O32" s="9"/>
    </row>
    <row r="33" spans="1:15" x14ac:dyDescent="0.25">
      <c r="A33" s="23" t="str">
        <f>IF(ISBLANK(D33),"",COUNTA($D$7:D33))</f>
        <v/>
      </c>
      <c r="B33" s="5"/>
      <c r="C33" s="6"/>
      <c r="D33" s="6"/>
      <c r="E33" s="13"/>
      <c r="F33" s="13"/>
      <c r="G33" s="7">
        <f t="shared" si="0"/>
        <v>0</v>
      </c>
      <c r="H33" s="8"/>
      <c r="I33" s="8"/>
      <c r="J33" s="8"/>
      <c r="K33" s="13"/>
      <c r="L33" s="13"/>
      <c r="M33" s="7">
        <f t="shared" si="1"/>
        <v>0</v>
      </c>
      <c r="N33" s="7"/>
      <c r="O33" s="9"/>
    </row>
    <row r="34" spans="1:15" x14ac:dyDescent="0.25">
      <c r="A34" s="23" t="str">
        <f>IF(ISBLANK(D34),"",COUNTA($D$7:D34))</f>
        <v/>
      </c>
      <c r="B34" s="5"/>
      <c r="C34" s="6"/>
      <c r="D34" s="6"/>
      <c r="E34" s="13"/>
      <c r="F34" s="13"/>
      <c r="G34" s="7">
        <f t="shared" si="0"/>
        <v>0</v>
      </c>
      <c r="H34" s="8"/>
      <c r="I34" s="8"/>
      <c r="J34" s="8"/>
      <c r="K34" s="13"/>
      <c r="L34" s="13"/>
      <c r="M34" s="7">
        <f t="shared" si="1"/>
        <v>0</v>
      </c>
      <c r="N34" s="7"/>
      <c r="O34" s="9"/>
    </row>
    <row r="35" spans="1:15" x14ac:dyDescent="0.25">
      <c r="A35" s="23" t="str">
        <f>IF(ISBLANK(D35),"",COUNTA($D$7:D35))</f>
        <v/>
      </c>
      <c r="B35" s="5"/>
      <c r="C35" s="6"/>
      <c r="D35" s="6"/>
      <c r="E35" s="13"/>
      <c r="F35" s="13"/>
      <c r="G35" s="7">
        <f t="shared" si="0"/>
        <v>0</v>
      </c>
      <c r="H35" s="8"/>
      <c r="I35" s="8"/>
      <c r="J35" s="8"/>
      <c r="K35" s="13"/>
      <c r="L35" s="13"/>
      <c r="M35" s="7">
        <f t="shared" si="1"/>
        <v>0</v>
      </c>
      <c r="N35" s="7"/>
      <c r="O35" s="9"/>
    </row>
    <row r="36" spans="1:15" x14ac:dyDescent="0.25">
      <c r="A36" s="23" t="str">
        <f>IF(ISBLANK(D36),"",COUNTA($D$7:D36))</f>
        <v/>
      </c>
      <c r="B36" s="5"/>
      <c r="C36" s="6"/>
      <c r="D36" s="6"/>
      <c r="E36" s="13"/>
      <c r="F36" s="13"/>
      <c r="G36" s="7">
        <f t="shared" si="0"/>
        <v>0</v>
      </c>
      <c r="H36" s="8"/>
      <c r="I36" s="8"/>
      <c r="J36" s="8"/>
      <c r="K36" s="13"/>
      <c r="L36" s="13"/>
      <c r="M36" s="7">
        <f t="shared" si="1"/>
        <v>0</v>
      </c>
      <c r="N36" s="7"/>
      <c r="O36" s="9"/>
    </row>
    <row r="37" spans="1:15" x14ac:dyDescent="0.25">
      <c r="A37" s="23" t="str">
        <f>IF(ISBLANK(D37),"",COUNTA($D$7:D37))</f>
        <v/>
      </c>
      <c r="B37" s="5"/>
      <c r="C37" s="6"/>
      <c r="D37" s="6"/>
      <c r="E37" s="13"/>
      <c r="F37" s="13"/>
      <c r="G37" s="7">
        <f t="shared" si="0"/>
        <v>0</v>
      </c>
      <c r="H37" s="8"/>
      <c r="I37" s="8"/>
      <c r="J37" s="8"/>
      <c r="K37" s="13"/>
      <c r="L37" s="13"/>
      <c r="M37" s="7">
        <f t="shared" si="1"/>
        <v>0</v>
      </c>
      <c r="N37" s="7"/>
      <c r="O37" s="9"/>
    </row>
    <row r="38" spans="1:15" x14ac:dyDescent="0.25">
      <c r="A38" s="23" t="str">
        <f>IF(ISBLANK(D38),"",COUNTA($D$7:D38))</f>
        <v/>
      </c>
      <c r="B38" s="5"/>
      <c r="C38" s="6"/>
      <c r="D38" s="6"/>
      <c r="E38" s="13"/>
      <c r="F38" s="13"/>
      <c r="G38" s="7">
        <f t="shared" si="0"/>
        <v>0</v>
      </c>
      <c r="H38" s="8"/>
      <c r="I38" s="8"/>
      <c r="J38" s="8"/>
      <c r="K38" s="13"/>
      <c r="L38" s="13"/>
      <c r="M38" s="7">
        <f t="shared" si="1"/>
        <v>0</v>
      </c>
      <c r="N38" s="7"/>
      <c r="O38" s="9"/>
    </row>
    <row r="39" spans="1:15" x14ac:dyDescent="0.25">
      <c r="A39" s="23" t="str">
        <f>IF(ISBLANK(D39),"",COUNTA($D$7:D39))</f>
        <v/>
      </c>
      <c r="B39" s="5"/>
      <c r="C39" s="6"/>
      <c r="D39" s="6"/>
      <c r="E39" s="13"/>
      <c r="F39" s="13"/>
      <c r="G39" s="7">
        <f t="shared" si="0"/>
        <v>0</v>
      </c>
      <c r="H39" s="8"/>
      <c r="I39" s="8"/>
      <c r="J39" s="8"/>
      <c r="K39" s="13"/>
      <c r="L39" s="13"/>
      <c r="M39" s="7">
        <f t="shared" si="1"/>
        <v>0</v>
      </c>
      <c r="N39" s="7"/>
      <c r="O39" s="9"/>
    </row>
    <row r="40" spans="1:15" x14ac:dyDescent="0.25">
      <c r="A40" s="23" t="str">
        <f>IF(ISBLANK(D40),"",COUNTA($D$7:D40))</f>
        <v/>
      </c>
      <c r="B40" s="5"/>
      <c r="C40" s="6"/>
      <c r="D40" s="6"/>
      <c r="E40" s="13"/>
      <c r="F40" s="13"/>
      <c r="G40" s="7">
        <f t="shared" si="0"/>
        <v>0</v>
      </c>
      <c r="H40" s="8"/>
      <c r="I40" s="8"/>
      <c r="J40" s="8"/>
      <c r="K40" s="13"/>
      <c r="L40" s="13"/>
      <c r="M40" s="7">
        <f t="shared" si="1"/>
        <v>0</v>
      </c>
      <c r="N40" s="7"/>
      <c r="O40" s="9"/>
    </row>
    <row r="41" spans="1:15" x14ac:dyDescent="0.25">
      <c r="A41" s="23" t="str">
        <f>IF(ISBLANK(D41),"",COUNTA($D$7:D41))</f>
        <v/>
      </c>
      <c r="B41" s="5"/>
      <c r="C41" s="6"/>
      <c r="D41" s="6"/>
      <c r="E41" s="13"/>
      <c r="F41" s="13"/>
      <c r="G41" s="7">
        <f t="shared" si="0"/>
        <v>0</v>
      </c>
      <c r="H41" s="8"/>
      <c r="I41" s="8"/>
      <c r="J41" s="8"/>
      <c r="K41" s="13"/>
      <c r="L41" s="13"/>
      <c r="M41" s="7">
        <f t="shared" si="1"/>
        <v>0</v>
      </c>
      <c r="N41" s="7"/>
      <c r="O41" s="9"/>
    </row>
    <row r="42" spans="1:15" x14ac:dyDescent="0.25">
      <c r="A42" s="23" t="str">
        <f>IF(ISBLANK(D42),"",COUNTA($D$7:D42))</f>
        <v/>
      </c>
      <c r="B42" s="5"/>
      <c r="C42" s="6"/>
      <c r="D42" s="6"/>
      <c r="E42" s="13"/>
      <c r="F42" s="13"/>
      <c r="G42" s="7">
        <f t="shared" si="0"/>
        <v>0</v>
      </c>
      <c r="H42" s="8"/>
      <c r="I42" s="8"/>
      <c r="J42" s="8"/>
      <c r="K42" s="13"/>
      <c r="L42" s="13"/>
      <c r="M42" s="7">
        <f t="shared" si="1"/>
        <v>0</v>
      </c>
      <c r="N42" s="7"/>
      <c r="O42" s="9"/>
    </row>
    <row r="43" spans="1:15" x14ac:dyDescent="0.25">
      <c r="A43" s="23" t="str">
        <f>IF(ISBLANK(D43),"",COUNTA($D$7:D43))</f>
        <v/>
      </c>
      <c r="B43" s="5"/>
      <c r="C43" s="6"/>
      <c r="D43" s="6"/>
      <c r="E43" s="13"/>
      <c r="F43" s="13"/>
      <c r="G43" s="7">
        <f t="shared" si="0"/>
        <v>0</v>
      </c>
      <c r="H43" s="8"/>
      <c r="I43" s="8"/>
      <c r="J43" s="8"/>
      <c r="K43" s="13"/>
      <c r="L43" s="13"/>
      <c r="M43" s="7">
        <f t="shared" si="1"/>
        <v>0</v>
      </c>
      <c r="N43" s="7"/>
      <c r="O43" s="9"/>
    </row>
    <row r="44" spans="1:15" x14ac:dyDescent="0.25">
      <c r="A44" s="23" t="str">
        <f>IF(ISBLANK(D44),"",COUNTA($D$7:D44))</f>
        <v/>
      </c>
      <c r="B44" s="5"/>
      <c r="C44" s="6"/>
      <c r="D44" s="6"/>
      <c r="E44" s="13"/>
      <c r="F44" s="13"/>
      <c r="G44" s="7">
        <f t="shared" si="0"/>
        <v>0</v>
      </c>
      <c r="H44" s="8"/>
      <c r="I44" s="8"/>
      <c r="J44" s="8"/>
      <c r="K44" s="13"/>
      <c r="L44" s="13"/>
      <c r="M44" s="7">
        <f t="shared" si="1"/>
        <v>0</v>
      </c>
      <c r="N44" s="7"/>
      <c r="O44" s="9"/>
    </row>
    <row r="45" spans="1:15" x14ac:dyDescent="0.25">
      <c r="A45" s="23" t="str">
        <f>IF(ISBLANK(D45),"",COUNTA($D$7:D45))</f>
        <v/>
      </c>
      <c r="B45" s="5"/>
      <c r="C45" s="6"/>
      <c r="D45" s="6"/>
      <c r="E45" s="13"/>
      <c r="F45" s="13"/>
      <c r="G45" s="7">
        <f t="shared" si="0"/>
        <v>0</v>
      </c>
      <c r="H45" s="8"/>
      <c r="I45" s="8"/>
      <c r="J45" s="8"/>
      <c r="K45" s="13"/>
      <c r="L45" s="13"/>
      <c r="M45" s="7">
        <f t="shared" si="1"/>
        <v>0</v>
      </c>
      <c r="N45" s="7"/>
      <c r="O45" s="9"/>
    </row>
    <row r="46" spans="1:15" x14ac:dyDescent="0.25">
      <c r="A46" s="23" t="str">
        <f>IF(ISBLANK(D46),"",COUNTA($D$7:D46))</f>
        <v/>
      </c>
      <c r="B46" s="5"/>
      <c r="C46" s="6"/>
      <c r="D46" s="6"/>
      <c r="E46" s="13"/>
      <c r="F46" s="13"/>
      <c r="G46" s="7">
        <f t="shared" si="0"/>
        <v>0</v>
      </c>
      <c r="H46" s="8"/>
      <c r="I46" s="8"/>
      <c r="J46" s="8"/>
      <c r="K46" s="13"/>
      <c r="L46" s="13"/>
      <c r="M46" s="7">
        <f t="shared" si="1"/>
        <v>0</v>
      </c>
      <c r="N46" s="7"/>
      <c r="O46" s="9"/>
    </row>
    <row r="47" spans="1:15" x14ac:dyDescent="0.25">
      <c r="A47" s="23" t="str">
        <f>IF(ISBLANK(D47),"",COUNTA($D$7:D47))</f>
        <v/>
      </c>
      <c r="B47" s="5"/>
      <c r="C47" s="6"/>
      <c r="D47" s="6"/>
      <c r="E47" s="13"/>
      <c r="F47" s="13"/>
      <c r="G47" s="7">
        <f t="shared" si="0"/>
        <v>0</v>
      </c>
      <c r="H47" s="8"/>
      <c r="I47" s="8"/>
      <c r="J47" s="8"/>
      <c r="K47" s="13"/>
      <c r="L47" s="13"/>
      <c r="M47" s="7">
        <f t="shared" si="1"/>
        <v>0</v>
      </c>
      <c r="N47" s="7"/>
      <c r="O47" s="9"/>
    </row>
    <row r="48" spans="1:15" x14ac:dyDescent="0.25">
      <c r="A48" s="23" t="str">
        <f>IF(ISBLANK(D48),"",COUNTA($D$7:D48))</f>
        <v/>
      </c>
      <c r="B48" s="5"/>
      <c r="C48" s="6"/>
      <c r="D48" s="6"/>
      <c r="E48" s="13"/>
      <c r="F48" s="13"/>
      <c r="G48" s="7">
        <f t="shared" si="0"/>
        <v>0</v>
      </c>
      <c r="H48" s="8"/>
      <c r="I48" s="8"/>
      <c r="J48" s="8"/>
      <c r="K48" s="13"/>
      <c r="L48" s="13"/>
      <c r="M48" s="7">
        <f t="shared" si="1"/>
        <v>0</v>
      </c>
      <c r="N48" s="7"/>
      <c r="O48" s="9"/>
    </row>
    <row r="49" spans="1:15" x14ac:dyDescent="0.25">
      <c r="A49" s="23" t="str">
        <f>IF(ISBLANK(D49),"",COUNTA($D$7:D49))</f>
        <v/>
      </c>
      <c r="B49" s="5"/>
      <c r="C49" s="6"/>
      <c r="D49" s="6"/>
      <c r="E49" s="13"/>
      <c r="F49" s="13"/>
      <c r="G49" s="7">
        <f t="shared" si="0"/>
        <v>0</v>
      </c>
      <c r="H49" s="8"/>
      <c r="I49" s="8"/>
      <c r="J49" s="8"/>
      <c r="K49" s="13"/>
      <c r="L49" s="13"/>
      <c r="M49" s="7">
        <f t="shared" si="1"/>
        <v>0</v>
      </c>
      <c r="N49" s="7"/>
      <c r="O49" s="9"/>
    </row>
    <row r="50" spans="1:15" x14ac:dyDescent="0.25">
      <c r="A50" s="23" t="str">
        <f>IF(ISBLANK(D50),"",COUNTA($D$7:D50))</f>
        <v/>
      </c>
      <c r="B50" s="5"/>
      <c r="C50" s="6"/>
      <c r="D50" s="6"/>
      <c r="E50" s="13"/>
      <c r="F50" s="13"/>
      <c r="G50" s="7">
        <f t="shared" si="0"/>
        <v>0</v>
      </c>
      <c r="H50" s="8"/>
      <c r="I50" s="8"/>
      <c r="J50" s="8"/>
      <c r="K50" s="13"/>
      <c r="L50" s="13"/>
      <c r="M50" s="7">
        <f t="shared" si="1"/>
        <v>0</v>
      </c>
      <c r="N50" s="7"/>
      <c r="O50" s="9"/>
    </row>
    <row r="51" spans="1:15" x14ac:dyDescent="0.25">
      <c r="A51" s="23" t="str">
        <f>IF(ISBLANK(D51),"",COUNTA($D$7:D51))</f>
        <v/>
      </c>
      <c r="B51" s="5"/>
      <c r="C51" s="6"/>
      <c r="D51" s="6"/>
      <c r="E51" s="13"/>
      <c r="F51" s="13"/>
      <c r="G51" s="7">
        <f t="shared" si="0"/>
        <v>0</v>
      </c>
      <c r="H51" s="8"/>
      <c r="I51" s="8"/>
      <c r="J51" s="8"/>
      <c r="K51" s="13"/>
      <c r="L51" s="13"/>
      <c r="M51" s="7">
        <f t="shared" si="1"/>
        <v>0</v>
      </c>
      <c r="N51" s="7"/>
      <c r="O51" s="9"/>
    </row>
    <row r="52" spans="1:15" x14ac:dyDescent="0.25">
      <c r="A52" s="23" t="str">
        <f>IF(ISBLANK(D52),"",COUNTA($D$7:D52))</f>
        <v/>
      </c>
      <c r="B52" s="5"/>
      <c r="C52" s="6"/>
      <c r="D52" s="6"/>
      <c r="E52" s="13"/>
      <c r="F52" s="13"/>
      <c r="G52" s="7">
        <f t="shared" si="0"/>
        <v>0</v>
      </c>
      <c r="H52" s="8"/>
      <c r="I52" s="8"/>
      <c r="J52" s="8"/>
      <c r="K52" s="13"/>
      <c r="L52" s="13"/>
      <c r="M52" s="7">
        <f t="shared" si="1"/>
        <v>0</v>
      </c>
      <c r="N52" s="7"/>
      <c r="O52" s="9"/>
    </row>
    <row r="53" spans="1:15" x14ac:dyDescent="0.25">
      <c r="A53" s="23" t="str">
        <f>IF(ISBLANK(D53),"",COUNTA($D$7:D53))</f>
        <v/>
      </c>
      <c r="B53" s="5"/>
      <c r="C53" s="6"/>
      <c r="D53" s="6"/>
      <c r="E53" s="13"/>
      <c r="F53" s="13"/>
      <c r="G53" s="7">
        <f t="shared" si="0"/>
        <v>0</v>
      </c>
      <c r="H53" s="8"/>
      <c r="I53" s="8"/>
      <c r="J53" s="8"/>
      <c r="K53" s="13"/>
      <c r="L53" s="13"/>
      <c r="M53" s="7">
        <f t="shared" si="1"/>
        <v>0</v>
      </c>
      <c r="N53" s="7"/>
      <c r="O53" s="9"/>
    </row>
    <row r="54" spans="1:15" x14ac:dyDescent="0.25">
      <c r="A54" s="23" t="str">
        <f>IF(ISBLANK(D54),"",COUNTA($D$7:D54))</f>
        <v/>
      </c>
      <c r="B54" s="5"/>
      <c r="C54" s="6"/>
      <c r="D54" s="6"/>
      <c r="E54" s="13"/>
      <c r="F54" s="13"/>
      <c r="G54" s="7">
        <f t="shared" si="0"/>
        <v>0</v>
      </c>
      <c r="H54" s="8"/>
      <c r="I54" s="8"/>
      <c r="J54" s="8"/>
      <c r="K54" s="13"/>
      <c r="L54" s="13"/>
      <c r="M54" s="7">
        <f t="shared" si="1"/>
        <v>0</v>
      </c>
      <c r="N54" s="7"/>
      <c r="O54" s="9"/>
    </row>
    <row r="55" spans="1:15" x14ac:dyDescent="0.25">
      <c r="A55" s="23" t="str">
        <f>IF(ISBLANK(D55),"",COUNTA($D$7:D55))</f>
        <v/>
      </c>
      <c r="B55" s="5"/>
      <c r="C55" s="6"/>
      <c r="D55" s="6"/>
      <c r="E55" s="13"/>
      <c r="F55" s="13"/>
      <c r="G55" s="7">
        <f t="shared" si="0"/>
        <v>0</v>
      </c>
      <c r="H55" s="8"/>
      <c r="I55" s="8"/>
      <c r="J55" s="8"/>
      <c r="K55" s="13"/>
      <c r="L55" s="13"/>
      <c r="M55" s="7">
        <f t="shared" si="1"/>
        <v>0</v>
      </c>
      <c r="N55" s="7"/>
      <c r="O55" s="9"/>
    </row>
    <row r="56" spans="1:15" x14ac:dyDescent="0.25">
      <c r="A56" s="23" t="str">
        <f>IF(ISBLANK(D56),"",COUNTA($D$7:D56))</f>
        <v/>
      </c>
      <c r="B56" s="5"/>
      <c r="C56" s="6"/>
      <c r="D56" s="6"/>
      <c r="E56" s="13"/>
      <c r="F56" s="13"/>
      <c r="G56" s="7">
        <f t="shared" si="0"/>
        <v>0</v>
      </c>
      <c r="H56" s="8"/>
      <c r="I56" s="8"/>
      <c r="J56" s="8"/>
      <c r="K56" s="13"/>
      <c r="L56" s="13"/>
      <c r="M56" s="7">
        <f t="shared" si="1"/>
        <v>0</v>
      </c>
      <c r="N56" s="7"/>
      <c r="O56" s="9"/>
    </row>
    <row r="57" spans="1:15" x14ac:dyDescent="0.25">
      <c r="A57" s="23" t="str">
        <f>IF(ISBLANK(D57),"",COUNTA($D$7:D57))</f>
        <v/>
      </c>
      <c r="B57" s="5"/>
      <c r="C57" s="6"/>
      <c r="D57" s="6"/>
      <c r="E57" s="13"/>
      <c r="F57" s="13"/>
      <c r="G57" s="7">
        <f t="shared" si="0"/>
        <v>0</v>
      </c>
      <c r="H57" s="8"/>
      <c r="I57" s="8"/>
      <c r="J57" s="8"/>
      <c r="K57" s="13"/>
      <c r="L57" s="13"/>
      <c r="M57" s="7">
        <f t="shared" si="1"/>
        <v>0</v>
      </c>
      <c r="N57" s="7"/>
      <c r="O57" s="9"/>
    </row>
    <row r="58" spans="1:15" x14ac:dyDescent="0.25">
      <c r="A58" s="23" t="str">
        <f>IF(ISBLANK(D58),"",COUNTA($D$7:D58))</f>
        <v/>
      </c>
      <c r="B58" s="5"/>
      <c r="C58" s="6"/>
      <c r="D58" s="6"/>
      <c r="E58" s="13"/>
      <c r="F58" s="13"/>
      <c r="G58" s="7">
        <f t="shared" si="0"/>
        <v>0</v>
      </c>
      <c r="H58" s="8"/>
      <c r="I58" s="8"/>
      <c r="J58" s="8"/>
      <c r="K58" s="13"/>
      <c r="L58" s="13"/>
      <c r="M58" s="7">
        <f t="shared" si="1"/>
        <v>0</v>
      </c>
      <c r="N58" s="7"/>
      <c r="O58" s="9"/>
    </row>
    <row r="59" spans="1:15" x14ac:dyDescent="0.25">
      <c r="A59" s="23" t="str">
        <f>IF(ISBLANK(D59),"",COUNTA($D$7:D59))</f>
        <v/>
      </c>
      <c r="B59" s="5"/>
      <c r="C59" s="6"/>
      <c r="D59" s="6"/>
      <c r="E59" s="13"/>
      <c r="F59" s="13"/>
      <c r="G59" s="7">
        <f t="shared" si="0"/>
        <v>0</v>
      </c>
      <c r="H59" s="8"/>
      <c r="I59" s="8"/>
      <c r="J59" s="8"/>
      <c r="K59" s="13"/>
      <c r="L59" s="13"/>
      <c r="M59" s="7">
        <f t="shared" si="1"/>
        <v>0</v>
      </c>
      <c r="N59" s="7"/>
      <c r="O59" s="9"/>
    </row>
    <row r="60" spans="1:15" x14ac:dyDescent="0.25">
      <c r="A60" s="23" t="str">
        <f>IF(ISBLANK(D60),"",COUNTA($D$7:D60))</f>
        <v/>
      </c>
      <c r="B60" s="5"/>
      <c r="C60" s="6"/>
      <c r="D60" s="6"/>
      <c r="E60" s="13"/>
      <c r="F60" s="13"/>
      <c r="G60" s="7">
        <f t="shared" si="0"/>
        <v>0</v>
      </c>
      <c r="H60" s="8"/>
      <c r="I60" s="8"/>
      <c r="J60" s="8"/>
      <c r="K60" s="13"/>
      <c r="L60" s="13"/>
      <c r="M60" s="7">
        <f t="shared" si="1"/>
        <v>0</v>
      </c>
      <c r="N60" s="7"/>
      <c r="O60" s="9"/>
    </row>
    <row r="61" spans="1:15" x14ac:dyDescent="0.25">
      <c r="A61" s="23" t="str">
        <f>IF(ISBLANK(D61),"",COUNTA($D$7:D61))</f>
        <v/>
      </c>
      <c r="B61" s="5"/>
      <c r="C61" s="6"/>
      <c r="D61" s="6"/>
      <c r="E61" s="13"/>
      <c r="F61" s="13"/>
      <c r="G61" s="7">
        <f t="shared" si="0"/>
        <v>0</v>
      </c>
      <c r="H61" s="8"/>
      <c r="I61" s="8"/>
      <c r="J61" s="8"/>
      <c r="K61" s="13"/>
      <c r="L61" s="13"/>
      <c r="M61" s="7">
        <f t="shared" si="1"/>
        <v>0</v>
      </c>
      <c r="N61" s="7"/>
      <c r="O61" s="9"/>
    </row>
    <row r="62" spans="1:15" x14ac:dyDescent="0.25">
      <c r="A62" s="23" t="str">
        <f>IF(ISBLANK(D62),"",COUNTA($D$7:D62))</f>
        <v/>
      </c>
      <c r="B62" s="5"/>
      <c r="C62" s="6"/>
      <c r="D62" s="6"/>
      <c r="E62" s="13"/>
      <c r="F62" s="13"/>
      <c r="G62" s="7">
        <f t="shared" si="0"/>
        <v>0</v>
      </c>
      <c r="H62" s="8"/>
      <c r="I62" s="8"/>
      <c r="J62" s="8"/>
      <c r="K62" s="13"/>
      <c r="L62" s="13"/>
      <c r="M62" s="7">
        <f t="shared" si="1"/>
        <v>0</v>
      </c>
      <c r="N62" s="7"/>
      <c r="O62" s="9"/>
    </row>
    <row r="63" spans="1:15" x14ac:dyDescent="0.25">
      <c r="A63" s="23" t="str">
        <f>IF(ISBLANK(D63),"",COUNTA($D$7:D63))</f>
        <v/>
      </c>
      <c r="B63" s="5"/>
      <c r="C63" s="6"/>
      <c r="D63" s="6"/>
      <c r="E63" s="13"/>
      <c r="F63" s="13"/>
      <c r="G63" s="7">
        <f t="shared" si="0"/>
        <v>0</v>
      </c>
      <c r="H63" s="8"/>
      <c r="I63" s="8"/>
      <c r="J63" s="8"/>
      <c r="K63" s="13"/>
      <c r="L63" s="13"/>
      <c r="M63" s="7">
        <f t="shared" si="1"/>
        <v>0</v>
      </c>
      <c r="N63" s="7"/>
      <c r="O63" s="9"/>
    </row>
    <row r="64" spans="1:15" x14ac:dyDescent="0.25">
      <c r="A64" s="23" t="str">
        <f>IF(ISBLANK(D64),"",COUNTA($D$7:D64))</f>
        <v/>
      </c>
      <c r="B64" s="5"/>
      <c r="C64" s="6"/>
      <c r="D64" s="6"/>
      <c r="E64" s="13"/>
      <c r="F64" s="13"/>
      <c r="G64" s="7">
        <f t="shared" si="0"/>
        <v>0</v>
      </c>
      <c r="H64" s="8"/>
      <c r="I64" s="8"/>
      <c r="J64" s="8"/>
      <c r="K64" s="13"/>
      <c r="L64" s="13"/>
      <c r="M64" s="7">
        <f t="shared" si="1"/>
        <v>0</v>
      </c>
      <c r="N64" s="7"/>
      <c r="O64" s="9"/>
    </row>
    <row r="65" spans="1:15" x14ac:dyDescent="0.25">
      <c r="A65" s="23" t="str">
        <f>IF(ISBLANK(D65),"",COUNTA($D$7:D65))</f>
        <v/>
      </c>
      <c r="B65" s="5"/>
      <c r="C65" s="6"/>
      <c r="D65" s="6"/>
      <c r="E65" s="13"/>
      <c r="F65" s="13"/>
      <c r="G65" s="7">
        <f t="shared" si="0"/>
        <v>0</v>
      </c>
      <c r="H65" s="8"/>
      <c r="I65" s="8"/>
      <c r="J65" s="8"/>
      <c r="K65" s="13"/>
      <c r="L65" s="13"/>
      <c r="M65" s="7">
        <f t="shared" si="1"/>
        <v>0</v>
      </c>
      <c r="N65" s="7"/>
      <c r="O65" s="9"/>
    </row>
    <row r="66" spans="1:15" x14ac:dyDescent="0.25">
      <c r="A66" s="23" t="str">
        <f>IF(ISBLANK(D66),"",COUNTA($D$7:D66))</f>
        <v/>
      </c>
      <c r="B66" s="5"/>
      <c r="C66" s="6"/>
      <c r="D66" s="6"/>
      <c r="E66" s="13"/>
      <c r="F66" s="13"/>
      <c r="G66" s="7">
        <f t="shared" si="0"/>
        <v>0</v>
      </c>
      <c r="H66" s="8"/>
      <c r="I66" s="8"/>
      <c r="J66" s="8"/>
      <c r="K66" s="13"/>
      <c r="L66" s="13"/>
      <c r="M66" s="7">
        <f t="shared" si="1"/>
        <v>0</v>
      </c>
      <c r="N66" s="7"/>
      <c r="O66" s="9"/>
    </row>
    <row r="67" spans="1:15" x14ac:dyDescent="0.25">
      <c r="A67" s="23" t="str">
        <f>IF(ISBLANK(D67),"",COUNTA($D$7:D67))</f>
        <v/>
      </c>
      <c r="B67" s="5"/>
      <c r="C67" s="6"/>
      <c r="D67" s="6"/>
      <c r="E67" s="13"/>
      <c r="F67" s="13"/>
      <c r="G67" s="7">
        <f t="shared" si="0"/>
        <v>0</v>
      </c>
      <c r="H67" s="8"/>
      <c r="I67" s="8"/>
      <c r="J67" s="8"/>
      <c r="K67" s="13"/>
      <c r="L67" s="13"/>
      <c r="M67" s="7">
        <f t="shared" si="1"/>
        <v>0</v>
      </c>
      <c r="N67" s="7"/>
      <c r="O67" s="9"/>
    </row>
    <row r="68" spans="1:15" x14ac:dyDescent="0.25">
      <c r="A68" s="23" t="str">
        <f>IF(ISBLANK(D68),"",COUNTA($D$7:D68))</f>
        <v/>
      </c>
      <c r="B68" s="5"/>
      <c r="C68" s="6"/>
      <c r="D68" s="6"/>
      <c r="E68" s="13"/>
      <c r="F68" s="13"/>
      <c r="G68" s="7">
        <f t="shared" si="0"/>
        <v>0</v>
      </c>
      <c r="H68" s="8"/>
      <c r="I68" s="8"/>
      <c r="J68" s="8"/>
      <c r="K68" s="13"/>
      <c r="L68" s="13"/>
      <c r="M68" s="7">
        <f t="shared" si="1"/>
        <v>0</v>
      </c>
      <c r="N68" s="7"/>
      <c r="O68" s="9"/>
    </row>
    <row r="69" spans="1:15" x14ac:dyDescent="0.25">
      <c r="A69" s="23" t="str">
        <f>IF(ISBLANK(D69),"",COUNTA($D$7:D69))</f>
        <v/>
      </c>
      <c r="B69" s="5"/>
      <c r="C69" s="6"/>
      <c r="D69" s="6"/>
      <c r="E69" s="13"/>
      <c r="F69" s="13"/>
      <c r="G69" s="7">
        <f t="shared" si="0"/>
        <v>0</v>
      </c>
      <c r="H69" s="8"/>
      <c r="I69" s="8"/>
      <c r="J69" s="8"/>
      <c r="K69" s="13"/>
      <c r="L69" s="13"/>
      <c r="M69" s="7">
        <f t="shared" si="1"/>
        <v>0</v>
      </c>
      <c r="N69" s="7"/>
      <c r="O69" s="9"/>
    </row>
    <row r="70" spans="1:15" x14ac:dyDescent="0.25">
      <c r="A70" s="23" t="str">
        <f>IF(ISBLANK(D70),"",COUNTA($D$7:D70))</f>
        <v/>
      </c>
      <c r="B70" s="5"/>
      <c r="C70" s="6"/>
      <c r="D70" s="6"/>
      <c r="E70" s="13"/>
      <c r="F70" s="13"/>
      <c r="G70" s="7">
        <f t="shared" si="0"/>
        <v>0</v>
      </c>
      <c r="H70" s="8"/>
      <c r="I70" s="8"/>
      <c r="J70" s="8"/>
      <c r="K70" s="13"/>
      <c r="L70" s="13"/>
      <c r="M70" s="7">
        <f t="shared" si="1"/>
        <v>0</v>
      </c>
      <c r="N70" s="7"/>
      <c r="O70" s="9"/>
    </row>
    <row r="71" spans="1:15" x14ac:dyDescent="0.25">
      <c r="A71" s="23" t="str">
        <f>IF(ISBLANK(D71),"",COUNTA($D$7:D71))</f>
        <v/>
      </c>
      <c r="B71" s="5"/>
      <c r="C71" s="6"/>
      <c r="D71" s="6"/>
      <c r="E71" s="13"/>
      <c r="F71" s="13"/>
      <c r="G71" s="7">
        <f t="shared" si="0"/>
        <v>0</v>
      </c>
      <c r="H71" s="8"/>
      <c r="I71" s="8"/>
      <c r="J71" s="8"/>
      <c r="K71" s="13"/>
      <c r="L71" s="13"/>
      <c r="M71" s="7">
        <f t="shared" si="1"/>
        <v>0</v>
      </c>
      <c r="N71" s="7"/>
      <c r="O71" s="9"/>
    </row>
    <row r="72" spans="1:15" x14ac:dyDescent="0.25">
      <c r="A72" s="23" t="str">
        <f>IF(ISBLANK(D72),"",COUNTA($D$7:D72))</f>
        <v/>
      </c>
      <c r="B72" s="5"/>
      <c r="C72" s="6"/>
      <c r="D72" s="6"/>
      <c r="E72" s="13"/>
      <c r="F72" s="13"/>
      <c r="G72" s="7">
        <f t="shared" ref="G72:G135" si="2">IF(AND(E72&lt;&gt;"",F72&lt;&gt;""),(VLOOKUP(E72,$AC$2:$AD$7,2,FALSE)*VLOOKUP(F72,$AE$2:$AF$6,2,FALSE)),0)</f>
        <v>0</v>
      </c>
      <c r="H72" s="8"/>
      <c r="I72" s="8"/>
      <c r="J72" s="8"/>
      <c r="K72" s="13"/>
      <c r="L72" s="13"/>
      <c r="M72" s="7">
        <f t="shared" ref="M72:M135" si="3">IF(C72="Opportunity",0.01,IF(AND(K72&lt;&gt;"",L72&lt;&gt;""),(VLOOKUP(K72,$AC$2:$AD$7,2,FALSE))*(VLOOKUP(L72,$AE$2:$AF$6,2,FALSE)),0))</f>
        <v>0</v>
      </c>
      <c r="N72" s="7"/>
      <c r="O72" s="9"/>
    </row>
    <row r="73" spans="1:15" x14ac:dyDescent="0.25">
      <c r="A73" s="23" t="str">
        <f>IF(ISBLANK(D73),"",COUNTA($D$7:D73))</f>
        <v/>
      </c>
      <c r="B73" s="5"/>
      <c r="C73" s="6"/>
      <c r="D73" s="6"/>
      <c r="E73" s="13"/>
      <c r="F73" s="13"/>
      <c r="G73" s="7">
        <f t="shared" si="2"/>
        <v>0</v>
      </c>
      <c r="H73" s="8"/>
      <c r="I73" s="8"/>
      <c r="J73" s="8"/>
      <c r="K73" s="13"/>
      <c r="L73" s="13"/>
      <c r="M73" s="7">
        <f t="shared" si="3"/>
        <v>0</v>
      </c>
      <c r="N73" s="7"/>
      <c r="O73" s="9"/>
    </row>
    <row r="74" spans="1:15" x14ac:dyDescent="0.25">
      <c r="A74" s="23" t="str">
        <f>IF(ISBLANK(D74),"",COUNTA($D$7:D74))</f>
        <v/>
      </c>
      <c r="B74" s="5"/>
      <c r="C74" s="6"/>
      <c r="D74" s="6"/>
      <c r="E74" s="13"/>
      <c r="F74" s="13"/>
      <c r="G74" s="7">
        <f t="shared" si="2"/>
        <v>0</v>
      </c>
      <c r="H74" s="8"/>
      <c r="I74" s="8"/>
      <c r="J74" s="8"/>
      <c r="K74" s="13"/>
      <c r="L74" s="13"/>
      <c r="M74" s="7">
        <f t="shared" si="3"/>
        <v>0</v>
      </c>
      <c r="N74" s="7"/>
      <c r="O74" s="9"/>
    </row>
    <row r="75" spans="1:15" x14ac:dyDescent="0.25">
      <c r="A75" s="23" t="str">
        <f>IF(ISBLANK(D75),"",COUNTA($D$7:D75))</f>
        <v/>
      </c>
      <c r="B75" s="5"/>
      <c r="C75" s="6"/>
      <c r="D75" s="6"/>
      <c r="E75" s="13"/>
      <c r="F75" s="13"/>
      <c r="G75" s="7">
        <f t="shared" si="2"/>
        <v>0</v>
      </c>
      <c r="H75" s="8"/>
      <c r="I75" s="8"/>
      <c r="J75" s="8"/>
      <c r="K75" s="13"/>
      <c r="L75" s="13"/>
      <c r="M75" s="7">
        <f t="shared" si="3"/>
        <v>0</v>
      </c>
      <c r="N75" s="7"/>
      <c r="O75" s="9"/>
    </row>
    <row r="76" spans="1:15" x14ac:dyDescent="0.25">
      <c r="A76" s="23" t="str">
        <f>IF(ISBLANK(D76),"",COUNTA($D$7:D76))</f>
        <v/>
      </c>
      <c r="B76" s="5"/>
      <c r="C76" s="6"/>
      <c r="D76" s="6"/>
      <c r="E76" s="13"/>
      <c r="F76" s="13"/>
      <c r="G76" s="7">
        <f t="shared" si="2"/>
        <v>0</v>
      </c>
      <c r="H76" s="8"/>
      <c r="I76" s="8"/>
      <c r="J76" s="8"/>
      <c r="K76" s="13"/>
      <c r="L76" s="13"/>
      <c r="M76" s="7">
        <f t="shared" si="3"/>
        <v>0</v>
      </c>
      <c r="N76" s="7"/>
      <c r="O76" s="9"/>
    </row>
    <row r="77" spans="1:15" x14ac:dyDescent="0.25">
      <c r="A77" s="23" t="str">
        <f>IF(ISBLANK(D77),"",COUNTA($D$7:D77))</f>
        <v/>
      </c>
      <c r="B77" s="5"/>
      <c r="C77" s="6"/>
      <c r="D77" s="6"/>
      <c r="E77" s="13"/>
      <c r="F77" s="13"/>
      <c r="G77" s="7">
        <f t="shared" si="2"/>
        <v>0</v>
      </c>
      <c r="H77" s="8"/>
      <c r="I77" s="8"/>
      <c r="J77" s="8"/>
      <c r="K77" s="13"/>
      <c r="L77" s="13"/>
      <c r="M77" s="7">
        <f t="shared" si="3"/>
        <v>0</v>
      </c>
      <c r="N77" s="7"/>
      <c r="O77" s="9"/>
    </row>
    <row r="78" spans="1:15" x14ac:dyDescent="0.25">
      <c r="A78" s="23" t="str">
        <f>IF(ISBLANK(D78),"",COUNTA($D$7:D78))</f>
        <v/>
      </c>
      <c r="B78" s="5"/>
      <c r="C78" s="6"/>
      <c r="D78" s="6"/>
      <c r="E78" s="13"/>
      <c r="F78" s="13"/>
      <c r="G78" s="7">
        <f t="shared" si="2"/>
        <v>0</v>
      </c>
      <c r="H78" s="8"/>
      <c r="I78" s="8"/>
      <c r="J78" s="8"/>
      <c r="K78" s="13"/>
      <c r="L78" s="13"/>
      <c r="M78" s="7">
        <f t="shared" si="3"/>
        <v>0</v>
      </c>
      <c r="N78" s="7"/>
      <c r="O78" s="9"/>
    </row>
    <row r="79" spans="1:15" x14ac:dyDescent="0.25">
      <c r="A79" s="23" t="str">
        <f>IF(ISBLANK(D79),"",COUNTA($D$7:D79))</f>
        <v/>
      </c>
      <c r="B79" s="5"/>
      <c r="C79" s="6"/>
      <c r="D79" s="6"/>
      <c r="E79" s="13"/>
      <c r="F79" s="13"/>
      <c r="G79" s="7">
        <f t="shared" si="2"/>
        <v>0</v>
      </c>
      <c r="H79" s="8"/>
      <c r="I79" s="8"/>
      <c r="J79" s="8"/>
      <c r="K79" s="13"/>
      <c r="L79" s="13"/>
      <c r="M79" s="7">
        <f t="shared" si="3"/>
        <v>0</v>
      </c>
      <c r="N79" s="7"/>
      <c r="O79" s="9"/>
    </row>
    <row r="80" spans="1:15" x14ac:dyDescent="0.25">
      <c r="A80" s="23" t="str">
        <f>IF(ISBLANK(D80),"",COUNTA($D$7:D80))</f>
        <v/>
      </c>
      <c r="B80" s="5"/>
      <c r="C80" s="6"/>
      <c r="D80" s="6"/>
      <c r="E80" s="13"/>
      <c r="F80" s="13"/>
      <c r="G80" s="7">
        <f t="shared" si="2"/>
        <v>0</v>
      </c>
      <c r="H80" s="8"/>
      <c r="I80" s="8"/>
      <c r="J80" s="8"/>
      <c r="K80" s="13"/>
      <c r="L80" s="13"/>
      <c r="M80" s="7">
        <f t="shared" si="3"/>
        <v>0</v>
      </c>
      <c r="N80" s="7"/>
      <c r="O80" s="9"/>
    </row>
    <row r="81" spans="1:15" x14ac:dyDescent="0.25">
      <c r="A81" s="23" t="str">
        <f>IF(ISBLANK(D81),"",COUNTA($D$7:D81))</f>
        <v/>
      </c>
      <c r="B81" s="5"/>
      <c r="C81" s="6"/>
      <c r="D81" s="6"/>
      <c r="E81" s="13"/>
      <c r="F81" s="13"/>
      <c r="G81" s="7">
        <f t="shared" si="2"/>
        <v>0</v>
      </c>
      <c r="H81" s="8"/>
      <c r="I81" s="8"/>
      <c r="J81" s="8"/>
      <c r="K81" s="13"/>
      <c r="L81" s="13"/>
      <c r="M81" s="7">
        <f t="shared" si="3"/>
        <v>0</v>
      </c>
      <c r="N81" s="7"/>
      <c r="O81" s="9"/>
    </row>
    <row r="82" spans="1:15" x14ac:dyDescent="0.25">
      <c r="A82" s="23" t="str">
        <f>IF(ISBLANK(D82),"",COUNTA($D$7:D82))</f>
        <v/>
      </c>
      <c r="B82" s="5"/>
      <c r="C82" s="6"/>
      <c r="D82" s="6"/>
      <c r="E82" s="13"/>
      <c r="F82" s="13"/>
      <c r="G82" s="7">
        <f t="shared" si="2"/>
        <v>0</v>
      </c>
      <c r="H82" s="8"/>
      <c r="I82" s="8"/>
      <c r="J82" s="8"/>
      <c r="K82" s="13"/>
      <c r="L82" s="13"/>
      <c r="M82" s="7">
        <f t="shared" si="3"/>
        <v>0</v>
      </c>
      <c r="N82" s="7"/>
      <c r="O82" s="9"/>
    </row>
    <row r="83" spans="1:15" x14ac:dyDescent="0.25">
      <c r="A83" s="23" t="str">
        <f>IF(ISBLANK(D83),"",COUNTA($D$7:D83))</f>
        <v/>
      </c>
      <c r="B83" s="5"/>
      <c r="C83" s="6"/>
      <c r="D83" s="6"/>
      <c r="E83" s="13"/>
      <c r="F83" s="13"/>
      <c r="G83" s="7">
        <f t="shared" si="2"/>
        <v>0</v>
      </c>
      <c r="H83" s="8"/>
      <c r="I83" s="8"/>
      <c r="J83" s="8"/>
      <c r="K83" s="13"/>
      <c r="L83" s="13"/>
      <c r="M83" s="7">
        <f t="shared" si="3"/>
        <v>0</v>
      </c>
      <c r="N83" s="7"/>
      <c r="O83" s="9"/>
    </row>
    <row r="84" spans="1:15" x14ac:dyDescent="0.25">
      <c r="A84" s="23" t="str">
        <f>IF(ISBLANK(D84),"",COUNTA($D$7:D84))</f>
        <v/>
      </c>
      <c r="B84" s="5"/>
      <c r="C84" s="6"/>
      <c r="D84" s="6"/>
      <c r="E84" s="13"/>
      <c r="F84" s="13"/>
      <c r="G84" s="7">
        <f t="shared" si="2"/>
        <v>0</v>
      </c>
      <c r="H84" s="8"/>
      <c r="I84" s="8"/>
      <c r="J84" s="8"/>
      <c r="K84" s="13"/>
      <c r="L84" s="13"/>
      <c r="M84" s="7">
        <f t="shared" si="3"/>
        <v>0</v>
      </c>
      <c r="N84" s="7"/>
      <c r="O84" s="9"/>
    </row>
    <row r="85" spans="1:15" x14ac:dyDescent="0.25">
      <c r="A85" s="23" t="str">
        <f>IF(ISBLANK(D85),"",COUNTA($D$7:D85))</f>
        <v/>
      </c>
      <c r="B85" s="5"/>
      <c r="C85" s="6"/>
      <c r="D85" s="6"/>
      <c r="E85" s="13"/>
      <c r="F85" s="13"/>
      <c r="G85" s="7">
        <f t="shared" si="2"/>
        <v>0</v>
      </c>
      <c r="H85" s="8"/>
      <c r="I85" s="8"/>
      <c r="J85" s="8"/>
      <c r="K85" s="13"/>
      <c r="L85" s="13"/>
      <c r="M85" s="7">
        <f t="shared" si="3"/>
        <v>0</v>
      </c>
      <c r="N85" s="7"/>
      <c r="O85" s="9"/>
    </row>
    <row r="86" spans="1:15" x14ac:dyDescent="0.25">
      <c r="A86" s="23" t="str">
        <f>IF(ISBLANK(D86),"",COUNTA($D$7:D86))</f>
        <v/>
      </c>
      <c r="B86" s="5"/>
      <c r="C86" s="6"/>
      <c r="D86" s="6"/>
      <c r="E86" s="13"/>
      <c r="F86" s="13"/>
      <c r="G86" s="7">
        <f t="shared" si="2"/>
        <v>0</v>
      </c>
      <c r="H86" s="8"/>
      <c r="I86" s="8"/>
      <c r="J86" s="8"/>
      <c r="K86" s="13"/>
      <c r="L86" s="13"/>
      <c r="M86" s="7">
        <f t="shared" si="3"/>
        <v>0</v>
      </c>
      <c r="N86" s="7"/>
      <c r="O86" s="9"/>
    </row>
    <row r="87" spans="1:15" x14ac:dyDescent="0.25">
      <c r="A87" s="23" t="str">
        <f>IF(ISBLANK(D87),"",COUNTA($D$7:D87))</f>
        <v/>
      </c>
      <c r="B87" s="5"/>
      <c r="C87" s="6"/>
      <c r="D87" s="6"/>
      <c r="E87" s="13"/>
      <c r="F87" s="13"/>
      <c r="G87" s="7">
        <f t="shared" si="2"/>
        <v>0</v>
      </c>
      <c r="H87" s="8"/>
      <c r="I87" s="8"/>
      <c r="J87" s="8"/>
      <c r="K87" s="13"/>
      <c r="L87" s="13"/>
      <c r="M87" s="7">
        <f t="shared" si="3"/>
        <v>0</v>
      </c>
      <c r="N87" s="7"/>
      <c r="O87" s="9"/>
    </row>
    <row r="88" spans="1:15" x14ac:dyDescent="0.25">
      <c r="A88" s="23" t="str">
        <f>IF(ISBLANK(D88),"",COUNTA($D$7:D88))</f>
        <v/>
      </c>
      <c r="B88" s="5"/>
      <c r="C88" s="6"/>
      <c r="D88" s="6"/>
      <c r="E88" s="13"/>
      <c r="F88" s="13"/>
      <c r="G88" s="7">
        <f t="shared" si="2"/>
        <v>0</v>
      </c>
      <c r="H88" s="8"/>
      <c r="I88" s="8"/>
      <c r="J88" s="8"/>
      <c r="K88" s="13"/>
      <c r="L88" s="13"/>
      <c r="M88" s="7">
        <f t="shared" si="3"/>
        <v>0</v>
      </c>
      <c r="N88" s="7"/>
      <c r="O88" s="9"/>
    </row>
    <row r="89" spans="1:15" x14ac:dyDescent="0.25">
      <c r="A89" s="23" t="str">
        <f>IF(ISBLANK(D89),"",COUNTA($D$7:D89))</f>
        <v/>
      </c>
      <c r="B89" s="5"/>
      <c r="C89" s="6"/>
      <c r="D89" s="6"/>
      <c r="E89" s="13"/>
      <c r="F89" s="13"/>
      <c r="G89" s="7">
        <f t="shared" si="2"/>
        <v>0</v>
      </c>
      <c r="H89" s="8"/>
      <c r="I89" s="8"/>
      <c r="J89" s="8"/>
      <c r="K89" s="13"/>
      <c r="L89" s="13"/>
      <c r="M89" s="7">
        <f t="shared" si="3"/>
        <v>0</v>
      </c>
      <c r="N89" s="7"/>
      <c r="O89" s="9"/>
    </row>
    <row r="90" spans="1:15" x14ac:dyDescent="0.25">
      <c r="A90" s="23" t="str">
        <f>IF(ISBLANK(D90),"",COUNTA($D$7:D90))</f>
        <v/>
      </c>
      <c r="B90" s="5"/>
      <c r="C90" s="6"/>
      <c r="D90" s="6"/>
      <c r="E90" s="13"/>
      <c r="F90" s="13"/>
      <c r="G90" s="7">
        <f t="shared" si="2"/>
        <v>0</v>
      </c>
      <c r="H90" s="8"/>
      <c r="I90" s="8"/>
      <c r="J90" s="8"/>
      <c r="K90" s="13"/>
      <c r="L90" s="13"/>
      <c r="M90" s="7">
        <f t="shared" si="3"/>
        <v>0</v>
      </c>
      <c r="N90" s="7"/>
      <c r="O90" s="9"/>
    </row>
    <row r="91" spans="1:15" x14ac:dyDescent="0.25">
      <c r="A91" s="23" t="str">
        <f>IF(ISBLANK(D91),"",COUNTA($D$7:D91))</f>
        <v/>
      </c>
      <c r="B91" s="5"/>
      <c r="C91" s="6"/>
      <c r="D91" s="6"/>
      <c r="E91" s="13"/>
      <c r="F91" s="13"/>
      <c r="G91" s="7">
        <f t="shared" si="2"/>
        <v>0</v>
      </c>
      <c r="H91" s="8"/>
      <c r="I91" s="8"/>
      <c r="J91" s="8"/>
      <c r="K91" s="13"/>
      <c r="L91" s="13"/>
      <c r="M91" s="7">
        <f t="shared" si="3"/>
        <v>0</v>
      </c>
      <c r="N91" s="7"/>
      <c r="O91" s="9"/>
    </row>
    <row r="92" spans="1:15" x14ac:dyDescent="0.25">
      <c r="A92" s="23" t="str">
        <f>IF(ISBLANK(D92),"",COUNTA($D$7:D92))</f>
        <v/>
      </c>
      <c r="B92" s="5"/>
      <c r="C92" s="6"/>
      <c r="D92" s="6"/>
      <c r="E92" s="13"/>
      <c r="F92" s="13"/>
      <c r="G92" s="7">
        <f t="shared" si="2"/>
        <v>0</v>
      </c>
      <c r="H92" s="8"/>
      <c r="I92" s="8"/>
      <c r="J92" s="8"/>
      <c r="K92" s="13"/>
      <c r="L92" s="13"/>
      <c r="M92" s="7">
        <f t="shared" si="3"/>
        <v>0</v>
      </c>
      <c r="N92" s="7"/>
      <c r="O92" s="9"/>
    </row>
    <row r="93" spans="1:15" x14ac:dyDescent="0.25">
      <c r="A93" s="23" t="str">
        <f>IF(ISBLANK(D93),"",COUNTA($D$7:D93))</f>
        <v/>
      </c>
      <c r="B93" s="5"/>
      <c r="C93" s="6"/>
      <c r="D93" s="6"/>
      <c r="E93" s="13"/>
      <c r="F93" s="13"/>
      <c r="G93" s="7">
        <f t="shared" si="2"/>
        <v>0</v>
      </c>
      <c r="H93" s="8"/>
      <c r="I93" s="8"/>
      <c r="J93" s="8"/>
      <c r="K93" s="13"/>
      <c r="L93" s="13"/>
      <c r="M93" s="7">
        <f t="shared" si="3"/>
        <v>0</v>
      </c>
      <c r="N93" s="7"/>
      <c r="O93" s="12"/>
    </row>
    <row r="94" spans="1:15" x14ac:dyDescent="0.25">
      <c r="A94" s="23" t="str">
        <f>IF(ISBLANK(D94),"",COUNTA($D$7:D94))</f>
        <v/>
      </c>
      <c r="B94" s="5"/>
      <c r="C94" s="6"/>
      <c r="D94" s="6"/>
      <c r="E94" s="13"/>
      <c r="F94" s="13"/>
      <c r="G94" s="7">
        <f t="shared" si="2"/>
        <v>0</v>
      </c>
      <c r="H94" s="8"/>
      <c r="I94" s="8"/>
      <c r="J94" s="8"/>
      <c r="K94" s="13"/>
      <c r="L94" s="13"/>
      <c r="M94" s="7">
        <f t="shared" si="3"/>
        <v>0</v>
      </c>
      <c r="N94" s="7"/>
      <c r="O94" s="9"/>
    </row>
    <row r="95" spans="1:15" x14ac:dyDescent="0.25">
      <c r="A95" s="23" t="str">
        <f>IF(ISBLANK(D95),"",COUNTA($D$7:D95))</f>
        <v/>
      </c>
      <c r="B95" s="5"/>
      <c r="C95" s="6"/>
      <c r="D95" s="6"/>
      <c r="E95" s="13"/>
      <c r="F95" s="13"/>
      <c r="G95" s="7">
        <f t="shared" si="2"/>
        <v>0</v>
      </c>
      <c r="H95" s="8"/>
      <c r="I95" s="8"/>
      <c r="J95" s="8"/>
      <c r="K95" s="13"/>
      <c r="L95" s="13"/>
      <c r="M95" s="7">
        <f t="shared" si="3"/>
        <v>0</v>
      </c>
      <c r="N95" s="7"/>
      <c r="O95" s="12"/>
    </row>
    <row r="96" spans="1:15" x14ac:dyDescent="0.25">
      <c r="A96" s="23" t="str">
        <f>IF(ISBLANK(D96),"",COUNTA($D$7:D96))</f>
        <v/>
      </c>
      <c r="B96" s="5"/>
      <c r="C96" s="6"/>
      <c r="D96" s="6"/>
      <c r="E96" s="13"/>
      <c r="F96" s="13"/>
      <c r="G96" s="7">
        <f t="shared" si="2"/>
        <v>0</v>
      </c>
      <c r="H96" s="8"/>
      <c r="I96" s="8"/>
      <c r="J96" s="8"/>
      <c r="K96" s="13"/>
      <c r="L96" s="13"/>
      <c r="M96" s="7">
        <f t="shared" si="3"/>
        <v>0</v>
      </c>
      <c r="N96" s="7"/>
      <c r="O96" s="9"/>
    </row>
    <row r="97" spans="1:15" x14ac:dyDescent="0.25">
      <c r="A97" s="23" t="str">
        <f>IF(ISBLANK(D97),"",COUNTA($D$7:D97))</f>
        <v/>
      </c>
      <c r="B97" s="5"/>
      <c r="C97" s="6"/>
      <c r="D97" s="6"/>
      <c r="E97" s="13"/>
      <c r="F97" s="13"/>
      <c r="G97" s="7">
        <f t="shared" si="2"/>
        <v>0</v>
      </c>
      <c r="H97" s="8"/>
      <c r="I97" s="8"/>
      <c r="J97" s="8"/>
      <c r="K97" s="13"/>
      <c r="L97" s="13"/>
      <c r="M97" s="7">
        <f t="shared" si="3"/>
        <v>0</v>
      </c>
      <c r="N97" s="7"/>
      <c r="O97" s="9"/>
    </row>
    <row r="98" spans="1:15" x14ac:dyDescent="0.25">
      <c r="A98" s="23" t="str">
        <f>IF(ISBLANK(D98),"",COUNTA($D$7:D98))</f>
        <v/>
      </c>
      <c r="B98" s="5"/>
      <c r="C98" s="6"/>
      <c r="D98" s="6"/>
      <c r="E98" s="13"/>
      <c r="F98" s="13"/>
      <c r="G98" s="7">
        <f t="shared" si="2"/>
        <v>0</v>
      </c>
      <c r="H98" s="8"/>
      <c r="I98" s="8"/>
      <c r="J98" s="8"/>
      <c r="K98" s="13"/>
      <c r="L98" s="13"/>
      <c r="M98" s="7">
        <f t="shared" si="3"/>
        <v>0</v>
      </c>
      <c r="N98" s="7"/>
      <c r="O98" s="9"/>
    </row>
    <row r="99" spans="1:15" x14ac:dyDescent="0.25">
      <c r="A99" s="23" t="str">
        <f>IF(ISBLANK(D99),"",COUNTA($D$7:D99))</f>
        <v/>
      </c>
      <c r="B99" s="5"/>
      <c r="C99" s="6"/>
      <c r="D99" s="6"/>
      <c r="E99" s="13"/>
      <c r="F99" s="13"/>
      <c r="G99" s="7">
        <f t="shared" si="2"/>
        <v>0</v>
      </c>
      <c r="H99" s="8"/>
      <c r="I99" s="8"/>
      <c r="J99" s="8"/>
      <c r="K99" s="13"/>
      <c r="L99" s="13"/>
      <c r="M99" s="7">
        <f t="shared" si="3"/>
        <v>0</v>
      </c>
      <c r="N99" s="7"/>
      <c r="O99" s="9"/>
    </row>
    <row r="100" spans="1:15" x14ac:dyDescent="0.25">
      <c r="A100" s="23" t="str">
        <f>IF(ISBLANK(D100),"",COUNTA($D$7:D100))</f>
        <v/>
      </c>
      <c r="B100" s="5"/>
      <c r="C100" s="6"/>
      <c r="D100" s="6"/>
      <c r="E100" s="13"/>
      <c r="F100" s="13"/>
      <c r="G100" s="7">
        <f t="shared" si="2"/>
        <v>0</v>
      </c>
      <c r="H100" s="8"/>
      <c r="I100" s="8"/>
      <c r="J100" s="8"/>
      <c r="K100" s="13"/>
      <c r="L100" s="13"/>
      <c r="M100" s="7">
        <f t="shared" si="3"/>
        <v>0</v>
      </c>
      <c r="N100" s="7"/>
      <c r="O100" s="9"/>
    </row>
    <row r="101" spans="1:15" x14ac:dyDescent="0.25">
      <c r="A101" s="23" t="str">
        <f>IF(ISBLANK(D101),"",COUNTA($D$7:D101))</f>
        <v/>
      </c>
      <c r="B101" s="5"/>
      <c r="C101" s="6"/>
      <c r="D101" s="6"/>
      <c r="E101" s="13"/>
      <c r="F101" s="13"/>
      <c r="G101" s="7">
        <f t="shared" si="2"/>
        <v>0</v>
      </c>
      <c r="H101" s="8"/>
      <c r="I101" s="8"/>
      <c r="J101" s="8"/>
      <c r="K101" s="13"/>
      <c r="L101" s="13"/>
      <c r="M101" s="7">
        <f t="shared" si="3"/>
        <v>0</v>
      </c>
      <c r="N101" s="7"/>
      <c r="O101" s="12"/>
    </row>
    <row r="102" spans="1:15" x14ac:dyDescent="0.25">
      <c r="A102" s="23" t="str">
        <f>IF(ISBLANK(D102),"",COUNTA($D$7:D102))</f>
        <v/>
      </c>
      <c r="B102" s="5"/>
      <c r="C102" s="6"/>
      <c r="D102" s="6"/>
      <c r="E102" s="13"/>
      <c r="F102" s="13"/>
      <c r="G102" s="7">
        <f t="shared" si="2"/>
        <v>0</v>
      </c>
      <c r="H102" s="8"/>
      <c r="I102" s="8"/>
      <c r="J102" s="8"/>
      <c r="K102" s="13"/>
      <c r="L102" s="13"/>
      <c r="M102" s="7">
        <f t="shared" si="3"/>
        <v>0</v>
      </c>
      <c r="N102" s="7"/>
      <c r="O102" s="9"/>
    </row>
    <row r="103" spans="1:15" x14ac:dyDescent="0.25">
      <c r="A103" s="23" t="str">
        <f>IF(ISBLANK(D103),"",COUNTA($D$7:D103))</f>
        <v/>
      </c>
      <c r="B103" s="5"/>
      <c r="C103" s="6"/>
      <c r="D103" s="6"/>
      <c r="E103" s="13"/>
      <c r="F103" s="13"/>
      <c r="G103" s="7">
        <f t="shared" si="2"/>
        <v>0</v>
      </c>
      <c r="H103" s="8"/>
      <c r="I103" s="8"/>
      <c r="J103" s="8"/>
      <c r="K103" s="13"/>
      <c r="L103" s="13"/>
      <c r="M103" s="7">
        <f t="shared" si="3"/>
        <v>0</v>
      </c>
      <c r="N103" s="7"/>
      <c r="O103" s="9"/>
    </row>
    <row r="104" spans="1:15" x14ac:dyDescent="0.25">
      <c r="A104" s="23" t="str">
        <f>IF(ISBLANK(D104),"",COUNTA($D$7:D104))</f>
        <v/>
      </c>
      <c r="B104" s="5"/>
      <c r="C104" s="6"/>
      <c r="D104" s="6"/>
      <c r="E104" s="13"/>
      <c r="F104" s="13"/>
      <c r="G104" s="7">
        <f t="shared" si="2"/>
        <v>0</v>
      </c>
      <c r="H104" s="8"/>
      <c r="I104" s="8"/>
      <c r="J104" s="8"/>
      <c r="K104" s="13"/>
      <c r="L104" s="13"/>
      <c r="M104" s="7">
        <f t="shared" si="3"/>
        <v>0</v>
      </c>
      <c r="N104" s="7"/>
      <c r="O104" s="9"/>
    </row>
    <row r="105" spans="1:15" x14ac:dyDescent="0.25">
      <c r="A105" s="23" t="str">
        <f>IF(ISBLANK(D105),"",COUNTA($D$7:D105))</f>
        <v/>
      </c>
      <c r="B105" s="5"/>
      <c r="C105" s="6"/>
      <c r="D105" s="6"/>
      <c r="E105" s="13"/>
      <c r="F105" s="13"/>
      <c r="G105" s="7">
        <f t="shared" si="2"/>
        <v>0</v>
      </c>
      <c r="H105" s="8"/>
      <c r="I105" s="8"/>
      <c r="J105" s="8"/>
      <c r="K105" s="13"/>
      <c r="L105" s="13"/>
      <c r="M105" s="7">
        <f t="shared" si="3"/>
        <v>0</v>
      </c>
      <c r="N105" s="7"/>
      <c r="O105" s="9"/>
    </row>
    <row r="106" spans="1:15" x14ac:dyDescent="0.25">
      <c r="A106" s="23" t="str">
        <f>IF(ISBLANK(D106),"",COUNTA($D$7:D106))</f>
        <v/>
      </c>
      <c r="B106" s="5"/>
      <c r="C106" s="6"/>
      <c r="D106" s="6"/>
      <c r="E106" s="13"/>
      <c r="F106" s="13"/>
      <c r="G106" s="7">
        <f t="shared" si="2"/>
        <v>0</v>
      </c>
      <c r="H106" s="8"/>
      <c r="I106" s="8"/>
      <c r="J106" s="8"/>
      <c r="K106" s="13"/>
      <c r="L106" s="13"/>
      <c r="M106" s="7">
        <f t="shared" si="3"/>
        <v>0</v>
      </c>
      <c r="N106" s="7"/>
      <c r="O106" s="9"/>
    </row>
    <row r="107" spans="1:15" x14ac:dyDescent="0.25">
      <c r="A107" s="23" t="str">
        <f>IF(ISBLANK(D107),"",COUNTA($D$7:D107))</f>
        <v/>
      </c>
      <c r="B107" s="5"/>
      <c r="C107" s="6"/>
      <c r="D107" s="6"/>
      <c r="E107" s="13"/>
      <c r="F107" s="13"/>
      <c r="G107" s="7">
        <f t="shared" si="2"/>
        <v>0</v>
      </c>
      <c r="H107" s="8"/>
      <c r="I107" s="8"/>
      <c r="J107" s="8"/>
      <c r="K107" s="13"/>
      <c r="L107" s="13"/>
      <c r="M107" s="7">
        <f t="shared" si="3"/>
        <v>0</v>
      </c>
      <c r="N107" s="7"/>
      <c r="O107" s="9"/>
    </row>
    <row r="108" spans="1:15" x14ac:dyDescent="0.25">
      <c r="A108" s="23" t="str">
        <f>IF(ISBLANK(D108),"",COUNTA($D$7:D108))</f>
        <v/>
      </c>
      <c r="B108" s="5"/>
      <c r="C108" s="6"/>
      <c r="D108" s="6"/>
      <c r="E108" s="13"/>
      <c r="F108" s="13"/>
      <c r="G108" s="7">
        <f t="shared" si="2"/>
        <v>0</v>
      </c>
      <c r="H108" s="8"/>
      <c r="I108" s="8"/>
      <c r="J108" s="8"/>
      <c r="K108" s="13"/>
      <c r="L108" s="13"/>
      <c r="M108" s="7">
        <f t="shared" si="3"/>
        <v>0</v>
      </c>
      <c r="N108" s="7"/>
      <c r="O108" s="9"/>
    </row>
    <row r="109" spans="1:15" x14ac:dyDescent="0.25">
      <c r="A109" s="23" t="str">
        <f>IF(ISBLANK(D109),"",COUNTA($D$7:D109))</f>
        <v/>
      </c>
      <c r="B109" s="5"/>
      <c r="C109" s="6"/>
      <c r="D109" s="6"/>
      <c r="E109" s="13"/>
      <c r="F109" s="13"/>
      <c r="G109" s="7">
        <f t="shared" si="2"/>
        <v>0</v>
      </c>
      <c r="H109" s="8"/>
      <c r="I109" s="8"/>
      <c r="J109" s="8"/>
      <c r="K109" s="13"/>
      <c r="L109" s="13"/>
      <c r="M109" s="7">
        <f t="shared" si="3"/>
        <v>0</v>
      </c>
      <c r="N109" s="7"/>
      <c r="O109" s="9"/>
    </row>
    <row r="110" spans="1:15" x14ac:dyDescent="0.25">
      <c r="A110" s="23" t="str">
        <f>IF(ISBLANK(D110),"",COUNTA($D$7:D110))</f>
        <v/>
      </c>
      <c r="B110" s="5"/>
      <c r="C110" s="6"/>
      <c r="D110" s="6"/>
      <c r="E110" s="13"/>
      <c r="F110" s="13"/>
      <c r="G110" s="7">
        <f t="shared" si="2"/>
        <v>0</v>
      </c>
      <c r="H110" s="8"/>
      <c r="I110" s="8"/>
      <c r="J110" s="8"/>
      <c r="K110" s="13"/>
      <c r="L110" s="13"/>
      <c r="M110" s="7">
        <f t="shared" si="3"/>
        <v>0</v>
      </c>
      <c r="N110" s="7"/>
      <c r="O110" s="9"/>
    </row>
    <row r="111" spans="1:15" x14ac:dyDescent="0.25">
      <c r="A111" s="23" t="str">
        <f>IF(ISBLANK(D111),"",COUNTA($D$7:D111))</f>
        <v/>
      </c>
      <c r="B111" s="5"/>
      <c r="C111" s="6"/>
      <c r="D111" s="6"/>
      <c r="E111" s="13"/>
      <c r="F111" s="13"/>
      <c r="G111" s="7">
        <f t="shared" si="2"/>
        <v>0</v>
      </c>
      <c r="H111" s="8"/>
      <c r="I111" s="8"/>
      <c r="J111" s="8"/>
      <c r="K111" s="13"/>
      <c r="L111" s="13"/>
      <c r="M111" s="7">
        <f t="shared" si="3"/>
        <v>0</v>
      </c>
      <c r="N111" s="7"/>
      <c r="O111" s="9"/>
    </row>
    <row r="112" spans="1:15" x14ac:dyDescent="0.25">
      <c r="A112" s="23" t="str">
        <f>IF(ISBLANK(D112),"",COUNTA($D$7:D112))</f>
        <v/>
      </c>
      <c r="B112" s="5"/>
      <c r="C112" s="6"/>
      <c r="D112" s="6"/>
      <c r="E112" s="13"/>
      <c r="F112" s="13"/>
      <c r="G112" s="7">
        <f t="shared" si="2"/>
        <v>0</v>
      </c>
      <c r="H112" s="8"/>
      <c r="I112" s="8"/>
      <c r="J112" s="8"/>
      <c r="K112" s="13"/>
      <c r="L112" s="13"/>
      <c r="M112" s="7">
        <f t="shared" si="3"/>
        <v>0</v>
      </c>
      <c r="N112" s="7"/>
      <c r="O112" s="9"/>
    </row>
    <row r="113" spans="1:15" x14ac:dyDescent="0.25">
      <c r="A113" s="23" t="str">
        <f>IF(ISBLANK(D113),"",COUNTA($D$7:D113))</f>
        <v/>
      </c>
      <c r="B113" s="5"/>
      <c r="C113" s="6"/>
      <c r="D113" s="6"/>
      <c r="E113" s="13"/>
      <c r="F113" s="13"/>
      <c r="G113" s="7">
        <f t="shared" si="2"/>
        <v>0</v>
      </c>
      <c r="H113" s="8"/>
      <c r="I113" s="8"/>
      <c r="J113" s="8"/>
      <c r="K113" s="13"/>
      <c r="L113" s="13"/>
      <c r="M113" s="7">
        <f t="shared" si="3"/>
        <v>0</v>
      </c>
      <c r="N113" s="7"/>
      <c r="O113" s="9"/>
    </row>
    <row r="114" spans="1:15" x14ac:dyDescent="0.25">
      <c r="A114" s="23" t="str">
        <f>IF(ISBLANK(D114),"",COUNTA($D$7:D114))</f>
        <v/>
      </c>
      <c r="B114" s="5"/>
      <c r="C114" s="6"/>
      <c r="D114" s="6"/>
      <c r="E114" s="13"/>
      <c r="F114" s="13"/>
      <c r="G114" s="7">
        <f t="shared" si="2"/>
        <v>0</v>
      </c>
      <c r="H114" s="8"/>
      <c r="I114" s="8"/>
      <c r="J114" s="8"/>
      <c r="K114" s="13"/>
      <c r="L114" s="13"/>
      <c r="M114" s="7">
        <f t="shared" si="3"/>
        <v>0</v>
      </c>
      <c r="N114" s="7"/>
      <c r="O114" s="9"/>
    </row>
    <row r="115" spans="1:15" x14ac:dyDescent="0.25">
      <c r="A115" s="23" t="str">
        <f>IF(ISBLANK(D115),"",COUNTA($D$7:D115))</f>
        <v/>
      </c>
      <c r="B115" s="5"/>
      <c r="C115" s="6"/>
      <c r="D115" s="6"/>
      <c r="E115" s="13"/>
      <c r="F115" s="13"/>
      <c r="G115" s="7">
        <f t="shared" si="2"/>
        <v>0</v>
      </c>
      <c r="H115" s="8"/>
      <c r="I115" s="8"/>
      <c r="J115" s="8"/>
      <c r="K115" s="13"/>
      <c r="L115" s="13"/>
      <c r="M115" s="7">
        <f t="shared" si="3"/>
        <v>0</v>
      </c>
      <c r="N115" s="7"/>
      <c r="O115" s="9"/>
    </row>
    <row r="116" spans="1:15" x14ac:dyDescent="0.25">
      <c r="A116" s="23" t="str">
        <f>IF(ISBLANK(D116),"",COUNTA($D$7:D116))</f>
        <v/>
      </c>
      <c r="B116" s="5"/>
      <c r="C116" s="6"/>
      <c r="D116" s="6"/>
      <c r="E116" s="13"/>
      <c r="F116" s="13"/>
      <c r="G116" s="7">
        <f t="shared" si="2"/>
        <v>0</v>
      </c>
      <c r="H116" s="8"/>
      <c r="I116" s="8"/>
      <c r="J116" s="8"/>
      <c r="K116" s="13"/>
      <c r="L116" s="13"/>
      <c r="M116" s="7">
        <f t="shared" si="3"/>
        <v>0</v>
      </c>
      <c r="N116" s="7"/>
      <c r="O116" s="9"/>
    </row>
    <row r="117" spans="1:15" x14ac:dyDescent="0.25">
      <c r="A117" s="23" t="str">
        <f>IF(ISBLANK(D117),"",COUNTA($D$7:D117))</f>
        <v/>
      </c>
      <c r="B117" s="5"/>
      <c r="C117" s="6"/>
      <c r="D117" s="6"/>
      <c r="E117" s="13"/>
      <c r="F117" s="13"/>
      <c r="G117" s="7">
        <f t="shared" si="2"/>
        <v>0</v>
      </c>
      <c r="H117" s="8"/>
      <c r="I117" s="8"/>
      <c r="J117" s="8"/>
      <c r="K117" s="13"/>
      <c r="L117" s="13"/>
      <c r="M117" s="7">
        <f t="shared" si="3"/>
        <v>0</v>
      </c>
      <c r="N117" s="7"/>
      <c r="O117" s="9"/>
    </row>
    <row r="118" spans="1:15" x14ac:dyDescent="0.25">
      <c r="A118" s="23" t="str">
        <f>IF(ISBLANK(D118),"",COUNTA($D$7:D118))</f>
        <v/>
      </c>
      <c r="B118" s="5"/>
      <c r="C118" s="6"/>
      <c r="D118" s="6"/>
      <c r="E118" s="13"/>
      <c r="F118" s="13"/>
      <c r="G118" s="7">
        <f t="shared" si="2"/>
        <v>0</v>
      </c>
      <c r="H118" s="8"/>
      <c r="I118" s="8"/>
      <c r="J118" s="8"/>
      <c r="K118" s="13"/>
      <c r="L118" s="13"/>
      <c r="M118" s="7">
        <f t="shared" si="3"/>
        <v>0</v>
      </c>
      <c r="N118" s="7"/>
      <c r="O118" s="9"/>
    </row>
    <row r="119" spans="1:15" x14ac:dyDescent="0.25">
      <c r="A119" s="23" t="str">
        <f>IF(ISBLANK(D119),"",COUNTA($D$7:D119))</f>
        <v/>
      </c>
      <c r="B119" s="5"/>
      <c r="C119" s="6"/>
      <c r="D119" s="6"/>
      <c r="E119" s="13"/>
      <c r="F119" s="13"/>
      <c r="G119" s="7">
        <f t="shared" si="2"/>
        <v>0</v>
      </c>
      <c r="H119" s="8"/>
      <c r="I119" s="8"/>
      <c r="J119" s="8"/>
      <c r="K119" s="13"/>
      <c r="L119" s="13"/>
      <c r="M119" s="7">
        <f t="shared" si="3"/>
        <v>0</v>
      </c>
      <c r="N119" s="7"/>
      <c r="O119" s="9"/>
    </row>
    <row r="120" spans="1:15" x14ac:dyDescent="0.25">
      <c r="A120" s="23" t="str">
        <f>IF(ISBLANK(D120),"",COUNTA($D$7:D120))</f>
        <v/>
      </c>
      <c r="B120" s="5"/>
      <c r="C120" s="6"/>
      <c r="D120" s="6"/>
      <c r="E120" s="13"/>
      <c r="F120" s="13"/>
      <c r="G120" s="7">
        <f t="shared" si="2"/>
        <v>0</v>
      </c>
      <c r="H120" s="8"/>
      <c r="I120" s="8"/>
      <c r="J120" s="8"/>
      <c r="K120" s="13"/>
      <c r="L120" s="13"/>
      <c r="M120" s="7">
        <f t="shared" si="3"/>
        <v>0</v>
      </c>
      <c r="N120" s="7"/>
      <c r="O120" s="9"/>
    </row>
    <row r="121" spans="1:15" x14ac:dyDescent="0.25">
      <c r="A121" s="23" t="str">
        <f>IF(ISBLANK(D121),"",COUNTA($D$7:D121))</f>
        <v/>
      </c>
      <c r="B121" s="5"/>
      <c r="C121" s="6"/>
      <c r="D121" s="6"/>
      <c r="E121" s="13"/>
      <c r="F121" s="13"/>
      <c r="G121" s="7">
        <f t="shared" si="2"/>
        <v>0</v>
      </c>
      <c r="H121" s="8"/>
      <c r="I121" s="8"/>
      <c r="J121" s="8"/>
      <c r="K121" s="13"/>
      <c r="L121" s="13"/>
      <c r="M121" s="7">
        <f t="shared" si="3"/>
        <v>0</v>
      </c>
      <c r="N121" s="7"/>
      <c r="O121" s="9"/>
    </row>
    <row r="122" spans="1:15" x14ac:dyDescent="0.25">
      <c r="A122" s="23" t="str">
        <f>IF(ISBLANK(D122),"",COUNTA($D$7:D122))</f>
        <v/>
      </c>
      <c r="B122" s="5"/>
      <c r="C122" s="6"/>
      <c r="D122" s="6"/>
      <c r="E122" s="13"/>
      <c r="F122" s="13"/>
      <c r="G122" s="7">
        <f t="shared" si="2"/>
        <v>0</v>
      </c>
      <c r="H122" s="8"/>
      <c r="I122" s="8"/>
      <c r="J122" s="8"/>
      <c r="K122" s="13"/>
      <c r="L122" s="13"/>
      <c r="M122" s="7">
        <f t="shared" si="3"/>
        <v>0</v>
      </c>
      <c r="N122" s="7"/>
      <c r="O122" s="9"/>
    </row>
    <row r="123" spans="1:15" x14ac:dyDescent="0.25">
      <c r="A123" s="23" t="str">
        <f>IF(ISBLANK(D123),"",COUNTA($D$7:D123))</f>
        <v/>
      </c>
      <c r="B123" s="5"/>
      <c r="C123" s="6"/>
      <c r="D123" s="6"/>
      <c r="E123" s="13"/>
      <c r="F123" s="13"/>
      <c r="G123" s="7">
        <f t="shared" si="2"/>
        <v>0</v>
      </c>
      <c r="H123" s="8"/>
      <c r="I123" s="8"/>
      <c r="J123" s="8"/>
      <c r="K123" s="13"/>
      <c r="L123" s="13"/>
      <c r="M123" s="7">
        <f t="shared" si="3"/>
        <v>0</v>
      </c>
      <c r="N123" s="7"/>
      <c r="O123" s="9"/>
    </row>
    <row r="124" spans="1:15" x14ac:dyDescent="0.25">
      <c r="A124" s="23" t="str">
        <f>IF(ISBLANK(D124),"",COUNTA($D$7:D124))</f>
        <v/>
      </c>
      <c r="B124" s="5"/>
      <c r="C124" s="6"/>
      <c r="D124" s="6"/>
      <c r="E124" s="13"/>
      <c r="F124" s="13"/>
      <c r="G124" s="7">
        <f t="shared" si="2"/>
        <v>0</v>
      </c>
      <c r="H124" s="8"/>
      <c r="I124" s="8"/>
      <c r="J124" s="8"/>
      <c r="K124" s="13"/>
      <c r="L124" s="13"/>
      <c r="M124" s="7">
        <f t="shared" si="3"/>
        <v>0</v>
      </c>
      <c r="N124" s="7"/>
      <c r="O124" s="9"/>
    </row>
    <row r="125" spans="1:15" x14ac:dyDescent="0.25">
      <c r="A125" s="23" t="str">
        <f>IF(ISBLANK(D125),"",COUNTA($D$7:D125))</f>
        <v/>
      </c>
      <c r="B125" s="5"/>
      <c r="C125" s="6"/>
      <c r="D125" s="6"/>
      <c r="E125" s="13"/>
      <c r="F125" s="13"/>
      <c r="G125" s="7">
        <f t="shared" si="2"/>
        <v>0</v>
      </c>
      <c r="H125" s="8"/>
      <c r="I125" s="8"/>
      <c r="J125" s="8"/>
      <c r="K125" s="13"/>
      <c r="L125" s="13"/>
      <c r="M125" s="7">
        <f t="shared" si="3"/>
        <v>0</v>
      </c>
      <c r="N125" s="7"/>
      <c r="O125" s="9"/>
    </row>
    <row r="126" spans="1:15" x14ac:dyDescent="0.25">
      <c r="A126" s="23" t="str">
        <f>IF(ISBLANK(D126),"",COUNTA($D$7:D126))</f>
        <v/>
      </c>
      <c r="B126" s="5"/>
      <c r="C126" s="6"/>
      <c r="D126" s="6"/>
      <c r="E126" s="13"/>
      <c r="F126" s="13"/>
      <c r="G126" s="7">
        <f t="shared" si="2"/>
        <v>0</v>
      </c>
      <c r="H126" s="8"/>
      <c r="I126" s="8"/>
      <c r="J126" s="8"/>
      <c r="K126" s="13"/>
      <c r="L126" s="13"/>
      <c r="M126" s="7">
        <f t="shared" si="3"/>
        <v>0</v>
      </c>
      <c r="N126" s="7"/>
      <c r="O126" s="9"/>
    </row>
    <row r="127" spans="1:15" x14ac:dyDescent="0.25">
      <c r="A127" s="23" t="str">
        <f>IF(ISBLANK(D127),"",COUNTA($D$7:D127))</f>
        <v/>
      </c>
      <c r="B127" s="5"/>
      <c r="C127" s="6"/>
      <c r="D127" s="6"/>
      <c r="E127" s="13"/>
      <c r="F127" s="13"/>
      <c r="G127" s="7">
        <f t="shared" si="2"/>
        <v>0</v>
      </c>
      <c r="H127" s="8"/>
      <c r="I127" s="8"/>
      <c r="J127" s="8"/>
      <c r="K127" s="13"/>
      <c r="L127" s="13"/>
      <c r="M127" s="7">
        <f t="shared" si="3"/>
        <v>0</v>
      </c>
      <c r="N127" s="7"/>
      <c r="O127" s="9"/>
    </row>
    <row r="128" spans="1:15" x14ac:dyDescent="0.25">
      <c r="A128" s="23" t="str">
        <f>IF(ISBLANK(D128),"",COUNTA($D$7:D128))</f>
        <v/>
      </c>
      <c r="B128" s="5"/>
      <c r="C128" s="6"/>
      <c r="D128" s="6"/>
      <c r="E128" s="13"/>
      <c r="F128" s="13"/>
      <c r="G128" s="7">
        <f t="shared" si="2"/>
        <v>0</v>
      </c>
      <c r="H128" s="8"/>
      <c r="I128" s="8"/>
      <c r="J128" s="8"/>
      <c r="K128" s="13"/>
      <c r="L128" s="13"/>
      <c r="M128" s="7">
        <f t="shared" si="3"/>
        <v>0</v>
      </c>
      <c r="N128" s="7"/>
      <c r="O128" s="9"/>
    </row>
    <row r="129" spans="1:15" x14ac:dyDescent="0.25">
      <c r="A129" s="23" t="str">
        <f>IF(ISBLANK(D129),"",COUNTA($D$7:D129))</f>
        <v/>
      </c>
      <c r="B129" s="5"/>
      <c r="C129" s="6"/>
      <c r="D129" s="6"/>
      <c r="E129" s="13"/>
      <c r="F129" s="13"/>
      <c r="G129" s="7">
        <f t="shared" si="2"/>
        <v>0</v>
      </c>
      <c r="H129" s="8"/>
      <c r="I129" s="8"/>
      <c r="J129" s="8"/>
      <c r="K129" s="13"/>
      <c r="L129" s="13"/>
      <c r="M129" s="7">
        <f t="shared" si="3"/>
        <v>0</v>
      </c>
      <c r="N129" s="7"/>
      <c r="O129" s="9"/>
    </row>
    <row r="130" spans="1:15" x14ac:dyDescent="0.25">
      <c r="A130" s="23" t="str">
        <f>IF(ISBLANK(D130),"",COUNTA($D$7:D130))</f>
        <v/>
      </c>
      <c r="B130" s="5"/>
      <c r="C130" s="6"/>
      <c r="D130" s="6"/>
      <c r="E130" s="13"/>
      <c r="F130" s="13"/>
      <c r="G130" s="7">
        <f t="shared" si="2"/>
        <v>0</v>
      </c>
      <c r="H130" s="8"/>
      <c r="I130" s="8"/>
      <c r="J130" s="8"/>
      <c r="K130" s="13"/>
      <c r="L130" s="13"/>
      <c r="M130" s="7">
        <f t="shared" si="3"/>
        <v>0</v>
      </c>
      <c r="N130" s="7"/>
      <c r="O130" s="9"/>
    </row>
    <row r="131" spans="1:15" x14ac:dyDescent="0.25">
      <c r="A131" s="23" t="str">
        <f>IF(ISBLANK(D131),"",COUNTA($D$7:D131))</f>
        <v/>
      </c>
      <c r="B131" s="5"/>
      <c r="C131" s="6"/>
      <c r="D131" s="6"/>
      <c r="E131" s="13"/>
      <c r="F131" s="13"/>
      <c r="G131" s="7">
        <f t="shared" si="2"/>
        <v>0</v>
      </c>
      <c r="H131" s="8"/>
      <c r="I131" s="8"/>
      <c r="J131" s="8"/>
      <c r="K131" s="13"/>
      <c r="L131" s="13"/>
      <c r="M131" s="7">
        <f t="shared" si="3"/>
        <v>0</v>
      </c>
      <c r="N131" s="7"/>
      <c r="O131" s="9"/>
    </row>
    <row r="132" spans="1:15" x14ac:dyDescent="0.25">
      <c r="A132" s="23" t="str">
        <f>IF(ISBLANK(D132),"",COUNTA($D$7:D132))</f>
        <v/>
      </c>
      <c r="B132" s="5"/>
      <c r="C132" s="6"/>
      <c r="D132" s="6"/>
      <c r="E132" s="13"/>
      <c r="F132" s="13"/>
      <c r="G132" s="7">
        <f t="shared" si="2"/>
        <v>0</v>
      </c>
      <c r="H132" s="8"/>
      <c r="I132" s="8"/>
      <c r="J132" s="8"/>
      <c r="K132" s="13"/>
      <c r="L132" s="13"/>
      <c r="M132" s="7">
        <f t="shared" si="3"/>
        <v>0</v>
      </c>
      <c r="N132" s="7"/>
      <c r="O132" s="9"/>
    </row>
    <row r="133" spans="1:15" x14ac:dyDescent="0.25">
      <c r="A133" s="23" t="str">
        <f>IF(ISBLANK(D133),"",COUNTA($D$7:D133))</f>
        <v/>
      </c>
      <c r="B133" s="5"/>
      <c r="C133" s="6"/>
      <c r="D133" s="6"/>
      <c r="E133" s="13"/>
      <c r="F133" s="13"/>
      <c r="G133" s="7">
        <f t="shared" si="2"/>
        <v>0</v>
      </c>
      <c r="H133" s="8"/>
      <c r="I133" s="8"/>
      <c r="J133" s="8"/>
      <c r="K133" s="13"/>
      <c r="L133" s="13"/>
      <c r="M133" s="7">
        <f t="shared" si="3"/>
        <v>0</v>
      </c>
      <c r="N133" s="7"/>
      <c r="O133" s="9"/>
    </row>
    <row r="134" spans="1:15" x14ac:dyDescent="0.25">
      <c r="A134" s="23" t="str">
        <f>IF(ISBLANK(D134),"",COUNTA($D$7:D134))</f>
        <v/>
      </c>
      <c r="B134" s="5"/>
      <c r="C134" s="6"/>
      <c r="D134" s="6"/>
      <c r="E134" s="13"/>
      <c r="F134" s="13"/>
      <c r="G134" s="7">
        <f t="shared" si="2"/>
        <v>0</v>
      </c>
      <c r="H134" s="8"/>
      <c r="I134" s="8"/>
      <c r="J134" s="8"/>
      <c r="K134" s="13"/>
      <c r="L134" s="13"/>
      <c r="M134" s="7">
        <f t="shared" si="3"/>
        <v>0</v>
      </c>
      <c r="N134" s="7"/>
      <c r="O134" s="9"/>
    </row>
    <row r="135" spans="1:15" x14ac:dyDescent="0.25">
      <c r="A135" s="23" t="str">
        <f>IF(ISBLANK(D135),"",COUNTA($D$7:D135))</f>
        <v/>
      </c>
      <c r="B135" s="5"/>
      <c r="C135" s="6"/>
      <c r="D135" s="6"/>
      <c r="E135" s="13"/>
      <c r="F135" s="13"/>
      <c r="G135" s="7">
        <f t="shared" si="2"/>
        <v>0</v>
      </c>
      <c r="H135" s="8"/>
      <c r="I135" s="8"/>
      <c r="J135" s="8"/>
      <c r="K135" s="13"/>
      <c r="L135" s="13"/>
      <c r="M135" s="7">
        <f t="shared" si="3"/>
        <v>0</v>
      </c>
      <c r="N135" s="7"/>
      <c r="O135" s="9"/>
    </row>
    <row r="136" spans="1:15" x14ac:dyDescent="0.25">
      <c r="A136" s="23" t="str">
        <f>IF(ISBLANK(D136),"",COUNTA($D$7:D136))</f>
        <v/>
      </c>
      <c r="B136" s="5"/>
      <c r="C136" s="6"/>
      <c r="D136" s="6"/>
      <c r="E136" s="13"/>
      <c r="F136" s="13"/>
      <c r="G136" s="7">
        <f t="shared" ref="G136:G199" si="4">IF(AND(E136&lt;&gt;"",F136&lt;&gt;""),(VLOOKUP(E136,$AC$2:$AD$7,2,FALSE)*VLOOKUP(F136,$AE$2:$AF$6,2,FALSE)),0)</f>
        <v>0</v>
      </c>
      <c r="H136" s="8"/>
      <c r="I136" s="8"/>
      <c r="J136" s="8"/>
      <c r="K136" s="13"/>
      <c r="L136" s="13"/>
      <c r="M136" s="7">
        <f t="shared" ref="M136:M199" si="5">IF(C136="Opportunity",0.01,IF(AND(K136&lt;&gt;"",L136&lt;&gt;""),(VLOOKUP(K136,$AC$2:$AD$7,2,FALSE))*(VLOOKUP(L136,$AE$2:$AF$6,2,FALSE)),0))</f>
        <v>0</v>
      </c>
      <c r="N136" s="7"/>
      <c r="O136" s="9"/>
    </row>
    <row r="137" spans="1:15" x14ac:dyDescent="0.25">
      <c r="A137" s="23" t="str">
        <f>IF(ISBLANK(D137),"",COUNTA($D$7:D137))</f>
        <v/>
      </c>
      <c r="B137" s="5"/>
      <c r="C137" s="6"/>
      <c r="D137" s="6"/>
      <c r="E137" s="13"/>
      <c r="F137" s="13"/>
      <c r="G137" s="7">
        <f t="shared" si="4"/>
        <v>0</v>
      </c>
      <c r="H137" s="8"/>
      <c r="I137" s="8"/>
      <c r="J137" s="8"/>
      <c r="K137" s="13"/>
      <c r="L137" s="13"/>
      <c r="M137" s="7">
        <f t="shared" si="5"/>
        <v>0</v>
      </c>
      <c r="N137" s="7"/>
      <c r="O137" s="9"/>
    </row>
    <row r="138" spans="1:15" x14ac:dyDescent="0.25">
      <c r="A138" s="23" t="str">
        <f>IF(ISBLANK(D138),"",COUNTA($D$7:D138))</f>
        <v/>
      </c>
      <c r="B138" s="5"/>
      <c r="C138" s="6"/>
      <c r="D138" s="6"/>
      <c r="E138" s="13"/>
      <c r="F138" s="13"/>
      <c r="G138" s="7">
        <f t="shared" si="4"/>
        <v>0</v>
      </c>
      <c r="H138" s="8"/>
      <c r="I138" s="8"/>
      <c r="J138" s="8"/>
      <c r="K138" s="13"/>
      <c r="L138" s="13"/>
      <c r="M138" s="7">
        <f t="shared" si="5"/>
        <v>0</v>
      </c>
      <c r="N138" s="7"/>
      <c r="O138" s="9"/>
    </row>
    <row r="139" spans="1:15" x14ac:dyDescent="0.25">
      <c r="A139" s="23" t="str">
        <f>IF(ISBLANK(D139),"",COUNTA($D$7:D139))</f>
        <v/>
      </c>
      <c r="B139" s="5"/>
      <c r="C139" s="6"/>
      <c r="D139" s="6"/>
      <c r="E139" s="13"/>
      <c r="F139" s="13"/>
      <c r="G139" s="7">
        <f t="shared" si="4"/>
        <v>0</v>
      </c>
      <c r="H139" s="8"/>
      <c r="I139" s="8"/>
      <c r="J139" s="8"/>
      <c r="K139" s="13"/>
      <c r="L139" s="13"/>
      <c r="M139" s="7">
        <f t="shared" si="5"/>
        <v>0</v>
      </c>
      <c r="N139" s="7"/>
      <c r="O139" s="9"/>
    </row>
    <row r="140" spans="1:15" x14ac:dyDescent="0.25">
      <c r="A140" s="23" t="str">
        <f>IF(ISBLANK(D140),"",COUNTA($D$7:D140))</f>
        <v/>
      </c>
      <c r="B140" s="5"/>
      <c r="C140" s="6"/>
      <c r="D140" s="6"/>
      <c r="E140" s="13"/>
      <c r="F140" s="13"/>
      <c r="G140" s="7">
        <f t="shared" si="4"/>
        <v>0</v>
      </c>
      <c r="H140" s="8"/>
      <c r="I140" s="8"/>
      <c r="J140" s="8"/>
      <c r="K140" s="13"/>
      <c r="L140" s="13"/>
      <c r="M140" s="7">
        <f t="shared" si="5"/>
        <v>0</v>
      </c>
      <c r="N140" s="7"/>
      <c r="O140" s="9"/>
    </row>
    <row r="141" spans="1:15" x14ac:dyDescent="0.25">
      <c r="A141" s="23" t="str">
        <f>IF(ISBLANK(D141),"",COUNTA($D$7:D141))</f>
        <v/>
      </c>
      <c r="B141" s="5"/>
      <c r="C141" s="6"/>
      <c r="D141" s="6"/>
      <c r="E141" s="13"/>
      <c r="F141" s="13"/>
      <c r="G141" s="7">
        <f t="shared" si="4"/>
        <v>0</v>
      </c>
      <c r="H141" s="8"/>
      <c r="I141" s="8"/>
      <c r="J141" s="8"/>
      <c r="K141" s="13"/>
      <c r="L141" s="13"/>
      <c r="M141" s="7">
        <f t="shared" si="5"/>
        <v>0</v>
      </c>
      <c r="N141" s="7"/>
      <c r="O141" s="9"/>
    </row>
    <row r="142" spans="1:15" x14ac:dyDescent="0.25">
      <c r="A142" s="23" t="str">
        <f>IF(ISBLANK(D142),"",COUNTA($D$7:D142))</f>
        <v/>
      </c>
      <c r="B142" s="5"/>
      <c r="C142" s="6"/>
      <c r="D142" s="6"/>
      <c r="E142" s="13"/>
      <c r="F142" s="13"/>
      <c r="G142" s="7">
        <f t="shared" si="4"/>
        <v>0</v>
      </c>
      <c r="H142" s="8"/>
      <c r="I142" s="8"/>
      <c r="J142" s="8"/>
      <c r="K142" s="13"/>
      <c r="L142" s="13"/>
      <c r="M142" s="7">
        <f t="shared" si="5"/>
        <v>0</v>
      </c>
      <c r="N142" s="7"/>
      <c r="O142" s="9"/>
    </row>
    <row r="143" spans="1:15" x14ac:dyDescent="0.25">
      <c r="A143" s="23" t="str">
        <f>IF(ISBLANK(D143),"",COUNTA($D$7:D143))</f>
        <v/>
      </c>
      <c r="B143" s="5"/>
      <c r="C143" s="6"/>
      <c r="D143" s="6"/>
      <c r="E143" s="13"/>
      <c r="F143" s="13"/>
      <c r="G143" s="7">
        <f t="shared" si="4"/>
        <v>0</v>
      </c>
      <c r="H143" s="8"/>
      <c r="I143" s="8"/>
      <c r="J143" s="8"/>
      <c r="K143" s="13"/>
      <c r="L143" s="13"/>
      <c r="M143" s="7">
        <f t="shared" si="5"/>
        <v>0</v>
      </c>
      <c r="N143" s="7"/>
      <c r="O143" s="9"/>
    </row>
    <row r="144" spans="1:15" x14ac:dyDescent="0.25">
      <c r="A144" s="23" t="str">
        <f>IF(ISBLANK(D144),"",COUNTA($D$7:D144))</f>
        <v/>
      </c>
      <c r="B144" s="5"/>
      <c r="C144" s="6"/>
      <c r="D144" s="6"/>
      <c r="E144" s="13"/>
      <c r="F144" s="13"/>
      <c r="G144" s="7">
        <f t="shared" si="4"/>
        <v>0</v>
      </c>
      <c r="H144" s="8"/>
      <c r="I144" s="8"/>
      <c r="J144" s="8"/>
      <c r="K144" s="13"/>
      <c r="L144" s="13"/>
      <c r="M144" s="7">
        <f t="shared" si="5"/>
        <v>0</v>
      </c>
      <c r="N144" s="7"/>
      <c r="O144" s="9"/>
    </row>
    <row r="145" spans="1:15" x14ac:dyDescent="0.25">
      <c r="A145" s="23" t="str">
        <f>IF(ISBLANK(D145),"",COUNTA($D$7:D145))</f>
        <v/>
      </c>
      <c r="B145" s="5"/>
      <c r="C145" s="6"/>
      <c r="D145" s="6"/>
      <c r="E145" s="13"/>
      <c r="F145" s="13"/>
      <c r="G145" s="7">
        <f t="shared" si="4"/>
        <v>0</v>
      </c>
      <c r="H145" s="8"/>
      <c r="I145" s="8"/>
      <c r="J145" s="8"/>
      <c r="K145" s="13"/>
      <c r="L145" s="13"/>
      <c r="M145" s="7">
        <f t="shared" si="5"/>
        <v>0</v>
      </c>
      <c r="N145" s="7"/>
      <c r="O145" s="9"/>
    </row>
    <row r="146" spans="1:15" x14ac:dyDescent="0.25">
      <c r="A146" s="23" t="str">
        <f>IF(ISBLANK(D146),"",COUNTA($D$7:D146))</f>
        <v/>
      </c>
      <c r="B146" s="5"/>
      <c r="C146" s="6"/>
      <c r="D146" s="6"/>
      <c r="E146" s="13"/>
      <c r="F146" s="13"/>
      <c r="G146" s="7">
        <f t="shared" si="4"/>
        <v>0</v>
      </c>
      <c r="H146" s="8"/>
      <c r="I146" s="8"/>
      <c r="J146" s="8"/>
      <c r="K146" s="13"/>
      <c r="L146" s="13"/>
      <c r="M146" s="7">
        <f t="shared" si="5"/>
        <v>0</v>
      </c>
      <c r="N146" s="7"/>
      <c r="O146" s="9"/>
    </row>
    <row r="147" spans="1:15" x14ac:dyDescent="0.25">
      <c r="A147" s="23" t="str">
        <f>IF(ISBLANK(D147),"",COUNTA($D$7:D147))</f>
        <v/>
      </c>
      <c r="B147" s="5"/>
      <c r="C147" s="6"/>
      <c r="D147" s="6"/>
      <c r="E147" s="13"/>
      <c r="F147" s="13"/>
      <c r="G147" s="7">
        <f t="shared" si="4"/>
        <v>0</v>
      </c>
      <c r="H147" s="8"/>
      <c r="I147" s="8"/>
      <c r="J147" s="8"/>
      <c r="K147" s="13"/>
      <c r="L147" s="13"/>
      <c r="M147" s="7">
        <f t="shared" si="5"/>
        <v>0</v>
      </c>
      <c r="N147" s="7"/>
      <c r="O147" s="9"/>
    </row>
    <row r="148" spans="1:15" x14ac:dyDescent="0.25">
      <c r="A148" s="23" t="str">
        <f>IF(ISBLANK(D148),"",COUNTA($D$7:D148))</f>
        <v/>
      </c>
      <c r="B148" s="5"/>
      <c r="C148" s="6"/>
      <c r="D148" s="6"/>
      <c r="E148" s="13"/>
      <c r="F148" s="13"/>
      <c r="G148" s="7">
        <f t="shared" si="4"/>
        <v>0</v>
      </c>
      <c r="H148" s="8"/>
      <c r="I148" s="8"/>
      <c r="J148" s="8"/>
      <c r="K148" s="13"/>
      <c r="L148" s="13"/>
      <c r="M148" s="7">
        <f t="shared" si="5"/>
        <v>0</v>
      </c>
      <c r="N148" s="7"/>
      <c r="O148" s="9"/>
    </row>
    <row r="149" spans="1:15" x14ac:dyDescent="0.25">
      <c r="A149" s="23" t="str">
        <f>IF(ISBLANK(D149),"",COUNTA($D$7:D149))</f>
        <v/>
      </c>
      <c r="B149" s="5"/>
      <c r="C149" s="6"/>
      <c r="D149" s="6"/>
      <c r="E149" s="13"/>
      <c r="F149" s="13"/>
      <c r="G149" s="7">
        <f t="shared" si="4"/>
        <v>0</v>
      </c>
      <c r="H149" s="8"/>
      <c r="I149" s="8"/>
      <c r="J149" s="8"/>
      <c r="K149" s="13"/>
      <c r="L149" s="13"/>
      <c r="M149" s="7">
        <f t="shared" si="5"/>
        <v>0</v>
      </c>
      <c r="N149" s="7"/>
      <c r="O149" s="9"/>
    </row>
    <row r="150" spans="1:15" x14ac:dyDescent="0.25">
      <c r="A150" s="23" t="str">
        <f>IF(ISBLANK(D150),"",COUNTA($D$7:D150))</f>
        <v/>
      </c>
      <c r="B150" s="5"/>
      <c r="C150" s="6"/>
      <c r="D150" s="6"/>
      <c r="E150" s="13"/>
      <c r="F150" s="13"/>
      <c r="G150" s="7">
        <f t="shared" si="4"/>
        <v>0</v>
      </c>
      <c r="H150" s="8"/>
      <c r="I150" s="8"/>
      <c r="J150" s="8"/>
      <c r="K150" s="13"/>
      <c r="L150" s="13"/>
      <c r="M150" s="7">
        <f t="shared" si="5"/>
        <v>0</v>
      </c>
      <c r="N150" s="7"/>
      <c r="O150" s="9"/>
    </row>
    <row r="151" spans="1:15" x14ac:dyDescent="0.25">
      <c r="A151" s="23" t="str">
        <f>IF(ISBLANK(D151),"",COUNTA($D$7:D151))</f>
        <v/>
      </c>
      <c r="B151" s="5"/>
      <c r="C151" s="6"/>
      <c r="D151" s="6"/>
      <c r="E151" s="13"/>
      <c r="F151" s="13"/>
      <c r="G151" s="7">
        <f t="shared" si="4"/>
        <v>0</v>
      </c>
      <c r="H151" s="8"/>
      <c r="I151" s="8"/>
      <c r="J151" s="8"/>
      <c r="K151" s="13"/>
      <c r="L151" s="13"/>
      <c r="M151" s="7">
        <f t="shared" si="5"/>
        <v>0</v>
      </c>
      <c r="N151" s="7"/>
      <c r="O151" s="9"/>
    </row>
    <row r="152" spans="1:15" x14ac:dyDescent="0.25">
      <c r="A152" s="23" t="str">
        <f>IF(ISBLANK(D152),"",COUNTA($D$7:D152))</f>
        <v/>
      </c>
      <c r="B152" s="5"/>
      <c r="C152" s="6"/>
      <c r="D152" s="6"/>
      <c r="E152" s="13"/>
      <c r="F152" s="13"/>
      <c r="G152" s="7">
        <f t="shared" si="4"/>
        <v>0</v>
      </c>
      <c r="H152" s="8"/>
      <c r="I152" s="8"/>
      <c r="J152" s="8"/>
      <c r="K152" s="13"/>
      <c r="L152" s="13"/>
      <c r="M152" s="7">
        <f t="shared" si="5"/>
        <v>0</v>
      </c>
      <c r="N152" s="7"/>
      <c r="O152" s="9"/>
    </row>
    <row r="153" spans="1:15" x14ac:dyDescent="0.25">
      <c r="A153" s="23" t="str">
        <f>IF(ISBLANK(D153),"",COUNTA($D$7:D153))</f>
        <v/>
      </c>
      <c r="B153" s="5"/>
      <c r="C153" s="6"/>
      <c r="D153" s="6"/>
      <c r="E153" s="13"/>
      <c r="F153" s="13"/>
      <c r="G153" s="7">
        <f t="shared" si="4"/>
        <v>0</v>
      </c>
      <c r="H153" s="8"/>
      <c r="I153" s="8"/>
      <c r="J153" s="8"/>
      <c r="K153" s="13"/>
      <c r="L153" s="13"/>
      <c r="M153" s="7">
        <f t="shared" si="5"/>
        <v>0</v>
      </c>
      <c r="N153" s="7"/>
      <c r="O153" s="9"/>
    </row>
    <row r="154" spans="1:15" x14ac:dyDescent="0.25">
      <c r="A154" s="23" t="str">
        <f>IF(ISBLANK(D154),"",COUNTA($D$7:D154))</f>
        <v/>
      </c>
      <c r="B154" s="5"/>
      <c r="C154" s="6"/>
      <c r="D154" s="6"/>
      <c r="E154" s="13"/>
      <c r="F154" s="13"/>
      <c r="G154" s="7">
        <f t="shared" si="4"/>
        <v>0</v>
      </c>
      <c r="H154" s="8"/>
      <c r="I154" s="8"/>
      <c r="J154" s="8"/>
      <c r="K154" s="13"/>
      <c r="L154" s="13"/>
      <c r="M154" s="7">
        <f t="shared" si="5"/>
        <v>0</v>
      </c>
      <c r="N154" s="7"/>
      <c r="O154" s="9"/>
    </row>
    <row r="155" spans="1:15" x14ac:dyDescent="0.25">
      <c r="A155" s="23" t="str">
        <f>IF(ISBLANK(D155),"",COUNTA($D$7:D155))</f>
        <v/>
      </c>
      <c r="B155" s="5"/>
      <c r="C155" s="6"/>
      <c r="D155" s="6"/>
      <c r="E155" s="13"/>
      <c r="F155" s="13"/>
      <c r="G155" s="7">
        <f t="shared" si="4"/>
        <v>0</v>
      </c>
      <c r="H155" s="8"/>
      <c r="I155" s="8"/>
      <c r="J155" s="8"/>
      <c r="K155" s="13"/>
      <c r="L155" s="13"/>
      <c r="M155" s="7">
        <f t="shared" si="5"/>
        <v>0</v>
      </c>
      <c r="N155" s="7"/>
      <c r="O155" s="9"/>
    </row>
    <row r="156" spans="1:15" x14ac:dyDescent="0.25">
      <c r="A156" s="23" t="str">
        <f>IF(ISBLANK(D156),"",COUNTA($D$7:D156))</f>
        <v/>
      </c>
      <c r="B156" s="5"/>
      <c r="C156" s="6"/>
      <c r="D156" s="6"/>
      <c r="E156" s="13"/>
      <c r="F156" s="13"/>
      <c r="G156" s="7">
        <f t="shared" si="4"/>
        <v>0</v>
      </c>
      <c r="H156" s="8"/>
      <c r="I156" s="8"/>
      <c r="J156" s="8"/>
      <c r="K156" s="13"/>
      <c r="L156" s="13"/>
      <c r="M156" s="7">
        <f t="shared" si="5"/>
        <v>0</v>
      </c>
      <c r="N156" s="7"/>
      <c r="O156" s="9"/>
    </row>
    <row r="157" spans="1:15" x14ac:dyDescent="0.25">
      <c r="A157" s="23" t="str">
        <f>IF(ISBLANK(D157),"",COUNTA($D$7:D157))</f>
        <v/>
      </c>
      <c r="B157" s="5"/>
      <c r="C157" s="6"/>
      <c r="D157" s="6"/>
      <c r="E157" s="13"/>
      <c r="F157" s="13"/>
      <c r="G157" s="7">
        <f t="shared" si="4"/>
        <v>0</v>
      </c>
      <c r="H157" s="8"/>
      <c r="I157" s="8"/>
      <c r="J157" s="8"/>
      <c r="K157" s="13"/>
      <c r="L157" s="13"/>
      <c r="M157" s="7">
        <f t="shared" si="5"/>
        <v>0</v>
      </c>
      <c r="N157" s="7"/>
      <c r="O157" s="9"/>
    </row>
    <row r="158" spans="1:15" x14ac:dyDescent="0.25">
      <c r="A158" s="23" t="str">
        <f>IF(ISBLANK(D158),"",COUNTA($D$7:D158))</f>
        <v/>
      </c>
      <c r="B158" s="5"/>
      <c r="C158" s="6"/>
      <c r="D158" s="6"/>
      <c r="E158" s="13"/>
      <c r="F158" s="13"/>
      <c r="G158" s="7">
        <f t="shared" si="4"/>
        <v>0</v>
      </c>
      <c r="H158" s="8"/>
      <c r="I158" s="8"/>
      <c r="J158" s="8"/>
      <c r="K158" s="13"/>
      <c r="L158" s="13"/>
      <c r="M158" s="7">
        <f t="shared" si="5"/>
        <v>0</v>
      </c>
      <c r="N158" s="7"/>
      <c r="O158" s="9"/>
    </row>
    <row r="159" spans="1:15" x14ac:dyDescent="0.25">
      <c r="A159" s="23" t="str">
        <f>IF(ISBLANK(D159),"",COUNTA($D$7:D159))</f>
        <v/>
      </c>
      <c r="B159" s="5"/>
      <c r="C159" s="6"/>
      <c r="D159" s="6"/>
      <c r="E159" s="13"/>
      <c r="F159" s="13"/>
      <c r="G159" s="7">
        <f t="shared" si="4"/>
        <v>0</v>
      </c>
      <c r="H159" s="8"/>
      <c r="I159" s="8"/>
      <c r="J159" s="8"/>
      <c r="K159" s="13"/>
      <c r="L159" s="13"/>
      <c r="M159" s="7">
        <f t="shared" si="5"/>
        <v>0</v>
      </c>
      <c r="N159" s="7"/>
      <c r="O159" s="9"/>
    </row>
    <row r="160" spans="1:15" x14ac:dyDescent="0.25">
      <c r="A160" s="23" t="str">
        <f>IF(ISBLANK(D160),"",COUNTA($D$7:D160))</f>
        <v/>
      </c>
      <c r="B160" s="5"/>
      <c r="C160" s="6"/>
      <c r="D160" s="6"/>
      <c r="E160" s="13"/>
      <c r="F160" s="13"/>
      <c r="G160" s="7">
        <f t="shared" si="4"/>
        <v>0</v>
      </c>
      <c r="H160" s="8"/>
      <c r="I160" s="8"/>
      <c r="J160" s="8"/>
      <c r="K160" s="13"/>
      <c r="L160" s="13"/>
      <c r="M160" s="7">
        <f t="shared" si="5"/>
        <v>0</v>
      </c>
      <c r="N160" s="7"/>
      <c r="O160" s="9"/>
    </row>
    <row r="161" spans="1:15" x14ac:dyDescent="0.25">
      <c r="A161" s="23" t="str">
        <f>IF(ISBLANK(D161),"",COUNTA($D$7:D161))</f>
        <v/>
      </c>
      <c r="B161" s="5"/>
      <c r="C161" s="6"/>
      <c r="D161" s="6"/>
      <c r="E161" s="13"/>
      <c r="F161" s="13"/>
      <c r="G161" s="7">
        <f t="shared" si="4"/>
        <v>0</v>
      </c>
      <c r="H161" s="8"/>
      <c r="I161" s="8"/>
      <c r="J161" s="8"/>
      <c r="K161" s="13"/>
      <c r="L161" s="13"/>
      <c r="M161" s="7">
        <f t="shared" si="5"/>
        <v>0</v>
      </c>
      <c r="N161" s="7"/>
      <c r="O161" s="9"/>
    </row>
    <row r="162" spans="1:15" x14ac:dyDescent="0.25">
      <c r="A162" s="23" t="str">
        <f>IF(ISBLANK(D162),"",COUNTA($D$7:D162))</f>
        <v/>
      </c>
      <c r="B162" s="5"/>
      <c r="C162" s="6"/>
      <c r="D162" s="6"/>
      <c r="E162" s="13"/>
      <c r="F162" s="13"/>
      <c r="G162" s="7">
        <f t="shared" si="4"/>
        <v>0</v>
      </c>
      <c r="H162" s="8"/>
      <c r="I162" s="8"/>
      <c r="J162" s="8"/>
      <c r="K162" s="13"/>
      <c r="L162" s="13"/>
      <c r="M162" s="7">
        <f t="shared" si="5"/>
        <v>0</v>
      </c>
      <c r="N162" s="7"/>
      <c r="O162" s="9"/>
    </row>
    <row r="163" spans="1:15" x14ac:dyDescent="0.25">
      <c r="A163" s="23" t="str">
        <f>IF(ISBLANK(D163),"",COUNTA($D$7:D163))</f>
        <v/>
      </c>
      <c r="B163" s="5"/>
      <c r="C163" s="6"/>
      <c r="D163" s="6"/>
      <c r="E163" s="13"/>
      <c r="F163" s="13"/>
      <c r="G163" s="7">
        <f t="shared" si="4"/>
        <v>0</v>
      </c>
      <c r="H163" s="8"/>
      <c r="I163" s="8"/>
      <c r="J163" s="8"/>
      <c r="K163" s="13"/>
      <c r="L163" s="13"/>
      <c r="M163" s="7">
        <f t="shared" si="5"/>
        <v>0</v>
      </c>
      <c r="N163" s="7"/>
      <c r="O163" s="9"/>
    </row>
    <row r="164" spans="1:15" x14ac:dyDescent="0.25">
      <c r="A164" s="23" t="str">
        <f>IF(ISBLANK(D164),"",COUNTA($D$7:D164))</f>
        <v/>
      </c>
      <c r="B164" s="5"/>
      <c r="C164" s="6"/>
      <c r="D164" s="6"/>
      <c r="E164" s="13"/>
      <c r="F164" s="13"/>
      <c r="G164" s="7">
        <f t="shared" si="4"/>
        <v>0</v>
      </c>
      <c r="H164" s="8"/>
      <c r="I164" s="8"/>
      <c r="J164" s="8"/>
      <c r="K164" s="13"/>
      <c r="L164" s="13"/>
      <c r="M164" s="7">
        <f t="shared" si="5"/>
        <v>0</v>
      </c>
      <c r="N164" s="7"/>
      <c r="O164" s="9"/>
    </row>
    <row r="165" spans="1:15" x14ac:dyDescent="0.25">
      <c r="A165" s="23" t="str">
        <f>IF(ISBLANK(D165),"",COUNTA($D$7:D165))</f>
        <v/>
      </c>
      <c r="B165" s="5"/>
      <c r="C165" s="6"/>
      <c r="D165" s="6"/>
      <c r="E165" s="13"/>
      <c r="F165" s="13"/>
      <c r="G165" s="7">
        <f t="shared" si="4"/>
        <v>0</v>
      </c>
      <c r="H165" s="8"/>
      <c r="I165" s="8"/>
      <c r="J165" s="8"/>
      <c r="K165" s="13"/>
      <c r="L165" s="13"/>
      <c r="M165" s="7">
        <f t="shared" si="5"/>
        <v>0</v>
      </c>
      <c r="N165" s="7"/>
      <c r="O165" s="9"/>
    </row>
    <row r="166" spans="1:15" x14ac:dyDescent="0.25">
      <c r="A166" s="23" t="str">
        <f>IF(ISBLANK(D166),"",COUNTA($D$7:D166))</f>
        <v/>
      </c>
      <c r="B166" s="5"/>
      <c r="C166" s="6"/>
      <c r="D166" s="6"/>
      <c r="E166" s="13"/>
      <c r="F166" s="13"/>
      <c r="G166" s="7">
        <f t="shared" si="4"/>
        <v>0</v>
      </c>
      <c r="H166" s="8"/>
      <c r="I166" s="8"/>
      <c r="J166" s="8"/>
      <c r="K166" s="13"/>
      <c r="L166" s="13"/>
      <c r="M166" s="7">
        <f t="shared" si="5"/>
        <v>0</v>
      </c>
      <c r="N166" s="7"/>
      <c r="O166" s="9"/>
    </row>
    <row r="167" spans="1:15" x14ac:dyDescent="0.25">
      <c r="A167" s="23" t="str">
        <f>IF(ISBLANK(D167),"",COUNTA($D$7:D167))</f>
        <v/>
      </c>
      <c r="B167" s="5"/>
      <c r="C167" s="6"/>
      <c r="D167" s="6"/>
      <c r="E167" s="13"/>
      <c r="F167" s="13"/>
      <c r="G167" s="7">
        <f t="shared" si="4"/>
        <v>0</v>
      </c>
      <c r="H167" s="8"/>
      <c r="I167" s="8"/>
      <c r="J167" s="8"/>
      <c r="K167" s="13"/>
      <c r="L167" s="13"/>
      <c r="M167" s="7">
        <f t="shared" si="5"/>
        <v>0</v>
      </c>
      <c r="N167" s="7"/>
      <c r="O167" s="9"/>
    </row>
    <row r="168" spans="1:15" x14ac:dyDescent="0.25">
      <c r="A168" s="23" t="str">
        <f>IF(ISBLANK(D168),"",COUNTA($D$7:D168))</f>
        <v/>
      </c>
      <c r="B168" s="5"/>
      <c r="C168" s="6"/>
      <c r="D168" s="6"/>
      <c r="E168" s="13"/>
      <c r="F168" s="13"/>
      <c r="G168" s="7">
        <f t="shared" si="4"/>
        <v>0</v>
      </c>
      <c r="H168" s="8"/>
      <c r="I168" s="8"/>
      <c r="J168" s="8"/>
      <c r="K168" s="13"/>
      <c r="L168" s="13"/>
      <c r="M168" s="7">
        <f t="shared" si="5"/>
        <v>0</v>
      </c>
      <c r="N168" s="7"/>
      <c r="O168" s="9"/>
    </row>
    <row r="169" spans="1:15" x14ac:dyDescent="0.25">
      <c r="A169" s="23" t="str">
        <f>IF(ISBLANK(D169),"",COUNTA($D$7:D169))</f>
        <v/>
      </c>
      <c r="B169" s="5"/>
      <c r="C169" s="6"/>
      <c r="D169" s="6"/>
      <c r="E169" s="13"/>
      <c r="F169" s="13"/>
      <c r="G169" s="7">
        <f t="shared" si="4"/>
        <v>0</v>
      </c>
      <c r="H169" s="8"/>
      <c r="I169" s="8"/>
      <c r="J169" s="8"/>
      <c r="K169" s="13"/>
      <c r="L169" s="13"/>
      <c r="M169" s="7">
        <f t="shared" si="5"/>
        <v>0</v>
      </c>
      <c r="N169" s="7"/>
      <c r="O169" s="9"/>
    </row>
    <row r="170" spans="1:15" x14ac:dyDescent="0.25">
      <c r="A170" s="23" t="str">
        <f>IF(ISBLANK(D170),"",COUNTA($D$7:D170))</f>
        <v/>
      </c>
      <c r="B170" s="5"/>
      <c r="C170" s="6"/>
      <c r="D170" s="6"/>
      <c r="E170" s="13"/>
      <c r="F170" s="13"/>
      <c r="G170" s="7">
        <f t="shared" si="4"/>
        <v>0</v>
      </c>
      <c r="H170" s="8"/>
      <c r="I170" s="8"/>
      <c r="J170" s="8"/>
      <c r="K170" s="13"/>
      <c r="L170" s="13"/>
      <c r="M170" s="7">
        <f t="shared" si="5"/>
        <v>0</v>
      </c>
      <c r="N170" s="7"/>
      <c r="O170" s="9"/>
    </row>
    <row r="171" spans="1:15" x14ac:dyDescent="0.25">
      <c r="A171" s="23" t="str">
        <f>IF(ISBLANK(D171),"",COUNTA($D$7:D171))</f>
        <v/>
      </c>
      <c r="B171" s="5"/>
      <c r="C171" s="6"/>
      <c r="D171" s="6"/>
      <c r="E171" s="13"/>
      <c r="F171" s="13"/>
      <c r="G171" s="7">
        <f t="shared" si="4"/>
        <v>0</v>
      </c>
      <c r="H171" s="8"/>
      <c r="I171" s="8"/>
      <c r="J171" s="8"/>
      <c r="K171" s="13"/>
      <c r="L171" s="13"/>
      <c r="M171" s="7">
        <f t="shared" si="5"/>
        <v>0</v>
      </c>
      <c r="N171" s="7"/>
      <c r="O171" s="9"/>
    </row>
    <row r="172" spans="1:15" x14ac:dyDescent="0.25">
      <c r="A172" s="23" t="str">
        <f>IF(ISBLANK(D172),"",COUNTA($D$7:D172))</f>
        <v/>
      </c>
      <c r="B172" s="5"/>
      <c r="C172" s="6"/>
      <c r="D172" s="6"/>
      <c r="E172" s="13"/>
      <c r="F172" s="13"/>
      <c r="G172" s="7">
        <f t="shared" si="4"/>
        <v>0</v>
      </c>
      <c r="H172" s="8"/>
      <c r="I172" s="8"/>
      <c r="J172" s="8"/>
      <c r="K172" s="13"/>
      <c r="L172" s="13"/>
      <c r="M172" s="7">
        <f t="shared" si="5"/>
        <v>0</v>
      </c>
      <c r="N172" s="7"/>
      <c r="O172" s="9"/>
    </row>
    <row r="173" spans="1:15" x14ac:dyDescent="0.25">
      <c r="A173" s="23" t="str">
        <f>IF(ISBLANK(D173),"",COUNTA($D$7:D173))</f>
        <v/>
      </c>
      <c r="B173" s="5"/>
      <c r="C173" s="6"/>
      <c r="D173" s="6"/>
      <c r="E173" s="13"/>
      <c r="F173" s="13"/>
      <c r="G173" s="7">
        <f t="shared" si="4"/>
        <v>0</v>
      </c>
      <c r="H173" s="8"/>
      <c r="I173" s="8"/>
      <c r="J173" s="8"/>
      <c r="K173" s="13"/>
      <c r="L173" s="13"/>
      <c r="M173" s="7">
        <f t="shared" si="5"/>
        <v>0</v>
      </c>
      <c r="N173" s="7"/>
      <c r="O173" s="9"/>
    </row>
    <row r="174" spans="1:15" x14ac:dyDescent="0.25">
      <c r="A174" s="23" t="str">
        <f>IF(ISBLANK(D174),"",COUNTA($D$7:D174))</f>
        <v/>
      </c>
      <c r="B174" s="5"/>
      <c r="C174" s="6"/>
      <c r="D174" s="6"/>
      <c r="E174" s="13"/>
      <c r="F174" s="13"/>
      <c r="G174" s="7">
        <f t="shared" si="4"/>
        <v>0</v>
      </c>
      <c r="H174" s="8"/>
      <c r="I174" s="8"/>
      <c r="J174" s="8"/>
      <c r="K174" s="13"/>
      <c r="L174" s="13"/>
      <c r="M174" s="7">
        <f t="shared" si="5"/>
        <v>0</v>
      </c>
      <c r="N174" s="7"/>
      <c r="O174" s="9"/>
    </row>
    <row r="175" spans="1:15" x14ac:dyDescent="0.25">
      <c r="A175" s="23" t="str">
        <f>IF(ISBLANK(D175),"",COUNTA($D$7:D175))</f>
        <v/>
      </c>
      <c r="B175" s="5"/>
      <c r="C175" s="6"/>
      <c r="D175" s="6"/>
      <c r="E175" s="13"/>
      <c r="F175" s="13"/>
      <c r="G175" s="7">
        <f t="shared" si="4"/>
        <v>0</v>
      </c>
      <c r="H175" s="8"/>
      <c r="I175" s="8"/>
      <c r="J175" s="8"/>
      <c r="K175" s="13"/>
      <c r="L175" s="13"/>
      <c r="M175" s="7">
        <f t="shared" si="5"/>
        <v>0</v>
      </c>
      <c r="N175" s="7"/>
      <c r="O175" s="9"/>
    </row>
    <row r="176" spans="1:15" x14ac:dyDescent="0.25">
      <c r="A176" s="23" t="str">
        <f>IF(ISBLANK(D176),"",COUNTA($D$7:D176))</f>
        <v/>
      </c>
      <c r="B176" s="5"/>
      <c r="C176" s="6"/>
      <c r="D176" s="6"/>
      <c r="E176" s="13"/>
      <c r="F176" s="13"/>
      <c r="G176" s="7">
        <f t="shared" si="4"/>
        <v>0</v>
      </c>
      <c r="H176" s="8"/>
      <c r="I176" s="8"/>
      <c r="J176" s="8"/>
      <c r="K176" s="13"/>
      <c r="L176" s="13"/>
      <c r="M176" s="7">
        <f t="shared" si="5"/>
        <v>0</v>
      </c>
      <c r="N176" s="7"/>
      <c r="O176" s="9"/>
    </row>
    <row r="177" spans="1:15" x14ac:dyDescent="0.25">
      <c r="A177" s="23" t="str">
        <f>IF(ISBLANK(D177),"",COUNTA($D$7:D177))</f>
        <v/>
      </c>
      <c r="B177" s="5"/>
      <c r="C177" s="6"/>
      <c r="D177" s="6"/>
      <c r="E177" s="13"/>
      <c r="F177" s="13"/>
      <c r="G177" s="7">
        <f t="shared" si="4"/>
        <v>0</v>
      </c>
      <c r="H177" s="8"/>
      <c r="I177" s="8"/>
      <c r="J177" s="8"/>
      <c r="K177" s="13"/>
      <c r="L177" s="13"/>
      <c r="M177" s="7">
        <f t="shared" si="5"/>
        <v>0</v>
      </c>
      <c r="N177" s="7"/>
      <c r="O177" s="9"/>
    </row>
    <row r="178" spans="1:15" x14ac:dyDescent="0.25">
      <c r="A178" s="23" t="str">
        <f>IF(ISBLANK(D178),"",COUNTA($D$7:D178))</f>
        <v/>
      </c>
      <c r="B178" s="5"/>
      <c r="C178" s="6"/>
      <c r="D178" s="6"/>
      <c r="E178" s="13"/>
      <c r="F178" s="13"/>
      <c r="G178" s="7">
        <f t="shared" si="4"/>
        <v>0</v>
      </c>
      <c r="H178" s="8"/>
      <c r="I178" s="8"/>
      <c r="J178" s="8"/>
      <c r="K178" s="13"/>
      <c r="L178" s="13"/>
      <c r="M178" s="7">
        <f t="shared" si="5"/>
        <v>0</v>
      </c>
      <c r="N178" s="7"/>
      <c r="O178" s="9"/>
    </row>
    <row r="179" spans="1:15" x14ac:dyDescent="0.25">
      <c r="A179" s="23" t="str">
        <f>IF(ISBLANK(D179),"",COUNTA($D$7:D179))</f>
        <v/>
      </c>
      <c r="B179" s="5"/>
      <c r="C179" s="6"/>
      <c r="D179" s="6"/>
      <c r="E179" s="13"/>
      <c r="F179" s="13"/>
      <c r="G179" s="7">
        <f t="shared" si="4"/>
        <v>0</v>
      </c>
      <c r="H179" s="8"/>
      <c r="I179" s="8"/>
      <c r="J179" s="8"/>
      <c r="K179" s="13"/>
      <c r="L179" s="13"/>
      <c r="M179" s="7">
        <f t="shared" si="5"/>
        <v>0</v>
      </c>
      <c r="N179" s="7"/>
      <c r="O179" s="9"/>
    </row>
    <row r="180" spans="1:15" x14ac:dyDescent="0.25">
      <c r="A180" s="23" t="str">
        <f>IF(ISBLANK(D180),"",COUNTA($D$7:D180))</f>
        <v/>
      </c>
      <c r="B180" s="5"/>
      <c r="C180" s="6"/>
      <c r="D180" s="6"/>
      <c r="E180" s="13"/>
      <c r="F180" s="13"/>
      <c r="G180" s="7">
        <f t="shared" si="4"/>
        <v>0</v>
      </c>
      <c r="H180" s="8"/>
      <c r="I180" s="8"/>
      <c r="J180" s="8"/>
      <c r="K180" s="13"/>
      <c r="L180" s="13"/>
      <c r="M180" s="7">
        <f t="shared" si="5"/>
        <v>0</v>
      </c>
      <c r="N180" s="7"/>
      <c r="O180" s="9"/>
    </row>
    <row r="181" spans="1:15" x14ac:dyDescent="0.25">
      <c r="A181" s="23" t="str">
        <f>IF(ISBLANK(D181),"",COUNTA($D$7:D181))</f>
        <v/>
      </c>
      <c r="B181" s="5"/>
      <c r="C181" s="6"/>
      <c r="D181" s="6"/>
      <c r="E181" s="13"/>
      <c r="F181" s="13"/>
      <c r="G181" s="7">
        <f t="shared" si="4"/>
        <v>0</v>
      </c>
      <c r="H181" s="8"/>
      <c r="I181" s="8"/>
      <c r="J181" s="8"/>
      <c r="K181" s="13"/>
      <c r="L181" s="13"/>
      <c r="M181" s="7">
        <f t="shared" si="5"/>
        <v>0</v>
      </c>
      <c r="N181" s="7"/>
      <c r="O181" s="9"/>
    </row>
    <row r="182" spans="1:15" x14ac:dyDescent="0.25">
      <c r="A182" s="23" t="str">
        <f>IF(ISBLANK(D182),"",COUNTA($D$7:D182))</f>
        <v/>
      </c>
      <c r="B182" s="5"/>
      <c r="C182" s="6"/>
      <c r="D182" s="6"/>
      <c r="E182" s="13"/>
      <c r="F182" s="13"/>
      <c r="G182" s="7">
        <f t="shared" si="4"/>
        <v>0</v>
      </c>
      <c r="H182" s="8"/>
      <c r="I182" s="8"/>
      <c r="J182" s="8"/>
      <c r="K182" s="13"/>
      <c r="L182" s="13"/>
      <c r="M182" s="7">
        <f t="shared" si="5"/>
        <v>0</v>
      </c>
      <c r="N182" s="7"/>
      <c r="O182" s="9"/>
    </row>
    <row r="183" spans="1:15" x14ac:dyDescent="0.25">
      <c r="A183" s="23" t="str">
        <f>IF(ISBLANK(D183),"",COUNTA($D$7:D183))</f>
        <v/>
      </c>
      <c r="B183" s="5"/>
      <c r="C183" s="6"/>
      <c r="D183" s="6"/>
      <c r="E183" s="13"/>
      <c r="F183" s="13"/>
      <c r="G183" s="7">
        <f t="shared" si="4"/>
        <v>0</v>
      </c>
      <c r="H183" s="8"/>
      <c r="I183" s="8"/>
      <c r="J183" s="8"/>
      <c r="K183" s="13"/>
      <c r="L183" s="13"/>
      <c r="M183" s="7">
        <f t="shared" si="5"/>
        <v>0</v>
      </c>
      <c r="N183" s="7"/>
      <c r="O183" s="9"/>
    </row>
    <row r="184" spans="1:15" x14ac:dyDescent="0.25">
      <c r="A184" s="23" t="str">
        <f>IF(ISBLANK(D184),"",COUNTA($D$7:D184))</f>
        <v/>
      </c>
      <c r="B184" s="5"/>
      <c r="C184" s="6"/>
      <c r="D184" s="6"/>
      <c r="E184" s="13"/>
      <c r="F184" s="13"/>
      <c r="G184" s="7">
        <f t="shared" si="4"/>
        <v>0</v>
      </c>
      <c r="H184" s="8"/>
      <c r="I184" s="8"/>
      <c r="J184" s="8"/>
      <c r="K184" s="13"/>
      <c r="L184" s="13"/>
      <c r="M184" s="7">
        <f t="shared" si="5"/>
        <v>0</v>
      </c>
      <c r="N184" s="7"/>
      <c r="O184" s="9"/>
    </row>
    <row r="185" spans="1:15" x14ac:dyDescent="0.25">
      <c r="A185" s="23" t="str">
        <f>IF(ISBLANK(D185),"",COUNTA($D$7:D185))</f>
        <v/>
      </c>
      <c r="B185" s="5"/>
      <c r="C185" s="6"/>
      <c r="D185" s="6"/>
      <c r="E185" s="13"/>
      <c r="F185" s="13"/>
      <c r="G185" s="7">
        <f t="shared" si="4"/>
        <v>0</v>
      </c>
      <c r="H185" s="8"/>
      <c r="I185" s="8"/>
      <c r="J185" s="8"/>
      <c r="K185" s="13"/>
      <c r="L185" s="13"/>
      <c r="M185" s="7">
        <f t="shared" si="5"/>
        <v>0</v>
      </c>
      <c r="N185" s="7"/>
      <c r="O185" s="9"/>
    </row>
    <row r="186" spans="1:15" x14ac:dyDescent="0.25">
      <c r="A186" s="23" t="str">
        <f>IF(ISBLANK(D186),"",COUNTA($D$7:D186))</f>
        <v/>
      </c>
      <c r="B186" s="5"/>
      <c r="C186" s="6"/>
      <c r="D186" s="6"/>
      <c r="E186" s="13"/>
      <c r="F186" s="13"/>
      <c r="G186" s="7">
        <f t="shared" si="4"/>
        <v>0</v>
      </c>
      <c r="H186" s="8"/>
      <c r="I186" s="8"/>
      <c r="J186" s="8"/>
      <c r="K186" s="13"/>
      <c r="L186" s="13"/>
      <c r="M186" s="7">
        <f t="shared" si="5"/>
        <v>0</v>
      </c>
      <c r="N186" s="7"/>
      <c r="O186" s="9"/>
    </row>
    <row r="187" spans="1:15" x14ac:dyDescent="0.25">
      <c r="A187" s="23" t="str">
        <f>IF(ISBLANK(D187),"",COUNTA($D$7:D187))</f>
        <v/>
      </c>
      <c r="B187" s="5"/>
      <c r="C187" s="6"/>
      <c r="D187" s="6"/>
      <c r="E187" s="13"/>
      <c r="F187" s="13"/>
      <c r="G187" s="7">
        <f t="shared" si="4"/>
        <v>0</v>
      </c>
      <c r="H187" s="8"/>
      <c r="I187" s="8"/>
      <c r="J187" s="8"/>
      <c r="K187" s="13"/>
      <c r="L187" s="13"/>
      <c r="M187" s="7">
        <f t="shared" si="5"/>
        <v>0</v>
      </c>
      <c r="N187" s="7"/>
      <c r="O187" s="9"/>
    </row>
    <row r="188" spans="1:15" x14ac:dyDescent="0.25">
      <c r="A188" s="23" t="str">
        <f>IF(ISBLANK(D188),"",COUNTA($D$7:D188))</f>
        <v/>
      </c>
      <c r="B188" s="5"/>
      <c r="C188" s="6"/>
      <c r="D188" s="6"/>
      <c r="E188" s="13"/>
      <c r="F188" s="13"/>
      <c r="G188" s="7">
        <f t="shared" si="4"/>
        <v>0</v>
      </c>
      <c r="H188" s="8"/>
      <c r="I188" s="8"/>
      <c r="J188" s="8"/>
      <c r="K188" s="13"/>
      <c r="L188" s="13"/>
      <c r="M188" s="7">
        <f t="shared" si="5"/>
        <v>0</v>
      </c>
      <c r="N188" s="7"/>
      <c r="O188" s="9"/>
    </row>
    <row r="189" spans="1:15" x14ac:dyDescent="0.25">
      <c r="A189" s="23" t="str">
        <f>IF(ISBLANK(D189),"",COUNTA($D$7:D189))</f>
        <v/>
      </c>
      <c r="B189" s="5"/>
      <c r="C189" s="6"/>
      <c r="D189" s="6"/>
      <c r="E189" s="13"/>
      <c r="F189" s="13"/>
      <c r="G189" s="7">
        <f t="shared" si="4"/>
        <v>0</v>
      </c>
      <c r="H189" s="8"/>
      <c r="I189" s="8"/>
      <c r="J189" s="8"/>
      <c r="K189" s="13"/>
      <c r="L189" s="13"/>
      <c r="M189" s="7">
        <f t="shared" si="5"/>
        <v>0</v>
      </c>
      <c r="N189" s="7"/>
      <c r="O189" s="9"/>
    </row>
    <row r="190" spans="1:15" x14ac:dyDescent="0.25">
      <c r="A190" s="23" t="str">
        <f>IF(ISBLANK(D190),"",COUNTA($D$7:D190))</f>
        <v/>
      </c>
      <c r="B190" s="5"/>
      <c r="C190" s="6"/>
      <c r="D190" s="6"/>
      <c r="E190" s="13"/>
      <c r="F190" s="13"/>
      <c r="G190" s="7">
        <f t="shared" si="4"/>
        <v>0</v>
      </c>
      <c r="H190" s="8"/>
      <c r="I190" s="8"/>
      <c r="J190" s="8"/>
      <c r="K190" s="13"/>
      <c r="L190" s="13"/>
      <c r="M190" s="7">
        <f t="shared" si="5"/>
        <v>0</v>
      </c>
      <c r="N190" s="7"/>
      <c r="O190" s="9"/>
    </row>
    <row r="191" spans="1:15" x14ac:dyDescent="0.25">
      <c r="A191" s="23" t="str">
        <f>IF(ISBLANK(D191),"",COUNTA($D$7:D191))</f>
        <v/>
      </c>
      <c r="B191" s="5"/>
      <c r="C191" s="6"/>
      <c r="D191" s="6"/>
      <c r="E191" s="13"/>
      <c r="F191" s="13"/>
      <c r="G191" s="7">
        <f t="shared" si="4"/>
        <v>0</v>
      </c>
      <c r="H191" s="8"/>
      <c r="I191" s="8"/>
      <c r="J191" s="8"/>
      <c r="K191" s="13"/>
      <c r="L191" s="13"/>
      <c r="M191" s="7">
        <f t="shared" si="5"/>
        <v>0</v>
      </c>
      <c r="N191" s="7"/>
      <c r="O191" s="9"/>
    </row>
    <row r="192" spans="1:15" x14ac:dyDescent="0.25">
      <c r="A192" s="23" t="str">
        <f>IF(ISBLANK(D192),"",COUNTA($D$7:D192))</f>
        <v/>
      </c>
      <c r="B192" s="5"/>
      <c r="C192" s="6"/>
      <c r="D192" s="6"/>
      <c r="E192" s="13"/>
      <c r="F192" s="13"/>
      <c r="G192" s="7">
        <f t="shared" si="4"/>
        <v>0</v>
      </c>
      <c r="H192" s="8"/>
      <c r="I192" s="8"/>
      <c r="J192" s="8"/>
      <c r="K192" s="13"/>
      <c r="L192" s="13"/>
      <c r="M192" s="7">
        <f t="shared" si="5"/>
        <v>0</v>
      </c>
      <c r="N192" s="7"/>
      <c r="O192" s="9"/>
    </row>
    <row r="193" spans="1:15" x14ac:dyDescent="0.25">
      <c r="A193" s="23" t="str">
        <f>IF(ISBLANK(D193),"",COUNTA($D$7:D193))</f>
        <v/>
      </c>
      <c r="B193" s="5"/>
      <c r="C193" s="6"/>
      <c r="D193" s="6"/>
      <c r="E193" s="13"/>
      <c r="F193" s="13"/>
      <c r="G193" s="7">
        <f t="shared" si="4"/>
        <v>0</v>
      </c>
      <c r="H193" s="8"/>
      <c r="I193" s="8"/>
      <c r="J193" s="8"/>
      <c r="K193" s="13"/>
      <c r="L193" s="13"/>
      <c r="M193" s="7">
        <f t="shared" si="5"/>
        <v>0</v>
      </c>
      <c r="N193" s="7"/>
      <c r="O193" s="9"/>
    </row>
    <row r="194" spans="1:15" x14ac:dyDescent="0.25">
      <c r="A194" s="23" t="str">
        <f>IF(ISBLANK(D194),"",COUNTA($D$7:D194))</f>
        <v/>
      </c>
      <c r="B194" s="5"/>
      <c r="C194" s="6"/>
      <c r="D194" s="6"/>
      <c r="E194" s="13"/>
      <c r="F194" s="13"/>
      <c r="G194" s="7">
        <f t="shared" si="4"/>
        <v>0</v>
      </c>
      <c r="H194" s="8"/>
      <c r="I194" s="8"/>
      <c r="J194" s="8"/>
      <c r="K194" s="13"/>
      <c r="L194" s="13"/>
      <c r="M194" s="7">
        <f t="shared" si="5"/>
        <v>0</v>
      </c>
      <c r="N194" s="7"/>
      <c r="O194" s="9"/>
    </row>
    <row r="195" spans="1:15" x14ac:dyDescent="0.25">
      <c r="A195" s="23" t="str">
        <f>IF(ISBLANK(D195),"",COUNTA($D$7:D195))</f>
        <v/>
      </c>
      <c r="B195" s="5"/>
      <c r="C195" s="6"/>
      <c r="D195" s="6"/>
      <c r="E195" s="13"/>
      <c r="F195" s="13"/>
      <c r="G195" s="7">
        <f t="shared" si="4"/>
        <v>0</v>
      </c>
      <c r="H195" s="8"/>
      <c r="I195" s="8"/>
      <c r="J195" s="8"/>
      <c r="K195" s="13"/>
      <c r="L195" s="13"/>
      <c r="M195" s="7">
        <f t="shared" si="5"/>
        <v>0</v>
      </c>
      <c r="N195" s="7"/>
      <c r="O195" s="9"/>
    </row>
    <row r="196" spans="1:15" x14ac:dyDescent="0.25">
      <c r="A196" s="23" t="str">
        <f>IF(ISBLANK(D196),"",COUNTA($D$7:D196))</f>
        <v/>
      </c>
      <c r="B196" s="5"/>
      <c r="C196" s="6"/>
      <c r="D196" s="6"/>
      <c r="E196" s="13"/>
      <c r="F196" s="13"/>
      <c r="G196" s="7">
        <f t="shared" si="4"/>
        <v>0</v>
      </c>
      <c r="H196" s="8"/>
      <c r="I196" s="8"/>
      <c r="J196" s="8"/>
      <c r="K196" s="13"/>
      <c r="L196" s="13"/>
      <c r="M196" s="7">
        <f t="shared" si="5"/>
        <v>0</v>
      </c>
      <c r="N196" s="7"/>
      <c r="O196" s="9"/>
    </row>
    <row r="197" spans="1:15" x14ac:dyDescent="0.25">
      <c r="A197" s="23" t="str">
        <f>IF(ISBLANK(D197),"",COUNTA($D$7:D197))</f>
        <v/>
      </c>
      <c r="B197" s="5"/>
      <c r="C197" s="6"/>
      <c r="D197" s="6"/>
      <c r="E197" s="13"/>
      <c r="F197" s="13"/>
      <c r="G197" s="7">
        <f t="shared" si="4"/>
        <v>0</v>
      </c>
      <c r="H197" s="8"/>
      <c r="I197" s="8"/>
      <c r="J197" s="8"/>
      <c r="K197" s="13"/>
      <c r="L197" s="13"/>
      <c r="M197" s="7">
        <f t="shared" si="5"/>
        <v>0</v>
      </c>
      <c r="N197" s="7"/>
      <c r="O197" s="9"/>
    </row>
    <row r="198" spans="1:15" x14ac:dyDescent="0.25">
      <c r="A198" s="23" t="str">
        <f>IF(ISBLANK(D198),"",COUNTA($D$7:D198))</f>
        <v/>
      </c>
      <c r="B198" s="5"/>
      <c r="C198" s="6"/>
      <c r="D198" s="6"/>
      <c r="E198" s="13"/>
      <c r="F198" s="13"/>
      <c r="G198" s="7">
        <f t="shared" si="4"/>
        <v>0</v>
      </c>
      <c r="H198" s="8"/>
      <c r="I198" s="8"/>
      <c r="J198" s="8"/>
      <c r="K198" s="13"/>
      <c r="L198" s="13"/>
      <c r="M198" s="7">
        <f t="shared" si="5"/>
        <v>0</v>
      </c>
      <c r="N198" s="7"/>
      <c r="O198" s="9"/>
    </row>
    <row r="199" spans="1:15" x14ac:dyDescent="0.25">
      <c r="A199" s="23" t="str">
        <f>IF(ISBLANK(D199),"",COUNTA($D$7:D199))</f>
        <v/>
      </c>
      <c r="B199" s="5"/>
      <c r="C199" s="6"/>
      <c r="D199" s="6"/>
      <c r="E199" s="13"/>
      <c r="F199" s="13"/>
      <c r="G199" s="7">
        <f t="shared" si="4"/>
        <v>0</v>
      </c>
      <c r="H199" s="8"/>
      <c r="I199" s="8"/>
      <c r="J199" s="8"/>
      <c r="K199" s="13"/>
      <c r="L199" s="13"/>
      <c r="M199" s="7">
        <f t="shared" si="5"/>
        <v>0</v>
      </c>
      <c r="N199" s="7"/>
      <c r="O199" s="9"/>
    </row>
    <row r="200" spans="1:15" x14ac:dyDescent="0.25">
      <c r="A200" s="23" t="str">
        <f>IF(ISBLANK(D200),"",COUNTA($D$7:D200))</f>
        <v/>
      </c>
      <c r="B200" s="5"/>
      <c r="C200" s="6"/>
      <c r="D200" s="6"/>
      <c r="E200" s="13"/>
      <c r="F200" s="13"/>
      <c r="G200" s="7">
        <f t="shared" ref="G200:G263" si="6">IF(AND(E200&lt;&gt;"",F200&lt;&gt;""),(VLOOKUP(E200,$AC$2:$AD$7,2,FALSE)*VLOOKUP(F200,$AE$2:$AF$6,2,FALSE)),0)</f>
        <v>0</v>
      </c>
      <c r="H200" s="8"/>
      <c r="I200" s="8"/>
      <c r="J200" s="8"/>
      <c r="K200" s="13"/>
      <c r="L200" s="13"/>
      <c r="M200" s="7">
        <f t="shared" ref="M200:M263" si="7">IF(C200="Opportunity",0.01,IF(AND(K200&lt;&gt;"",L200&lt;&gt;""),(VLOOKUP(K200,$AC$2:$AD$7,2,FALSE))*(VLOOKUP(L200,$AE$2:$AF$6,2,FALSE)),0))</f>
        <v>0</v>
      </c>
      <c r="N200" s="7"/>
      <c r="O200" s="9"/>
    </row>
    <row r="201" spans="1:15" x14ac:dyDescent="0.25">
      <c r="A201" s="23" t="str">
        <f>IF(ISBLANK(D201),"",COUNTA($D$7:D201))</f>
        <v/>
      </c>
      <c r="B201" s="5"/>
      <c r="C201" s="6"/>
      <c r="D201" s="6"/>
      <c r="E201" s="13"/>
      <c r="F201" s="13"/>
      <c r="G201" s="7">
        <f t="shared" si="6"/>
        <v>0</v>
      </c>
      <c r="H201" s="8"/>
      <c r="I201" s="8"/>
      <c r="J201" s="8"/>
      <c r="K201" s="13"/>
      <c r="L201" s="13"/>
      <c r="M201" s="7">
        <f t="shared" si="7"/>
        <v>0</v>
      </c>
      <c r="N201" s="7"/>
      <c r="O201" s="9"/>
    </row>
    <row r="202" spans="1:15" x14ac:dyDescent="0.25">
      <c r="A202" s="23" t="str">
        <f>IF(ISBLANK(D202),"",COUNTA($D$7:D202))</f>
        <v/>
      </c>
      <c r="B202" s="5"/>
      <c r="C202" s="6"/>
      <c r="D202" s="6"/>
      <c r="E202" s="13"/>
      <c r="F202" s="13"/>
      <c r="G202" s="7">
        <f t="shared" si="6"/>
        <v>0</v>
      </c>
      <c r="H202" s="8"/>
      <c r="I202" s="8"/>
      <c r="J202" s="8"/>
      <c r="K202" s="13"/>
      <c r="L202" s="13"/>
      <c r="M202" s="7">
        <f t="shared" si="7"/>
        <v>0</v>
      </c>
      <c r="N202" s="7"/>
      <c r="O202" s="9"/>
    </row>
    <row r="203" spans="1:15" x14ac:dyDescent="0.25">
      <c r="A203" s="23" t="str">
        <f>IF(ISBLANK(D203),"",COUNTA($D$7:D203))</f>
        <v/>
      </c>
      <c r="B203" s="5"/>
      <c r="C203" s="6"/>
      <c r="D203" s="6"/>
      <c r="E203" s="13"/>
      <c r="F203" s="13"/>
      <c r="G203" s="7">
        <f t="shared" si="6"/>
        <v>0</v>
      </c>
      <c r="H203" s="8"/>
      <c r="I203" s="8"/>
      <c r="J203" s="8"/>
      <c r="K203" s="13"/>
      <c r="L203" s="13"/>
      <c r="M203" s="7">
        <f t="shared" si="7"/>
        <v>0</v>
      </c>
      <c r="N203" s="7"/>
      <c r="O203" s="9"/>
    </row>
    <row r="204" spans="1:15" x14ac:dyDescent="0.25">
      <c r="A204" s="23" t="str">
        <f>IF(ISBLANK(D204),"",COUNTA($D$7:D204))</f>
        <v/>
      </c>
      <c r="B204" s="5"/>
      <c r="C204" s="6"/>
      <c r="D204" s="6"/>
      <c r="E204" s="13"/>
      <c r="F204" s="13"/>
      <c r="G204" s="7">
        <f t="shared" si="6"/>
        <v>0</v>
      </c>
      <c r="H204" s="8"/>
      <c r="I204" s="8"/>
      <c r="J204" s="8"/>
      <c r="K204" s="13"/>
      <c r="L204" s="13"/>
      <c r="M204" s="7">
        <f t="shared" si="7"/>
        <v>0</v>
      </c>
      <c r="N204" s="7"/>
      <c r="O204" s="9"/>
    </row>
    <row r="205" spans="1:15" x14ac:dyDescent="0.25">
      <c r="A205" s="23" t="str">
        <f>IF(ISBLANK(D205),"",COUNTA($D$7:D205))</f>
        <v/>
      </c>
      <c r="B205" s="5"/>
      <c r="C205" s="6"/>
      <c r="D205" s="6"/>
      <c r="E205" s="13"/>
      <c r="F205" s="13"/>
      <c r="G205" s="7">
        <f t="shared" si="6"/>
        <v>0</v>
      </c>
      <c r="H205" s="8"/>
      <c r="I205" s="8"/>
      <c r="J205" s="8"/>
      <c r="K205" s="13"/>
      <c r="L205" s="13"/>
      <c r="M205" s="7">
        <f t="shared" si="7"/>
        <v>0</v>
      </c>
      <c r="N205" s="7"/>
      <c r="O205" s="9"/>
    </row>
    <row r="206" spans="1:15" x14ac:dyDescent="0.25">
      <c r="A206" s="23" t="str">
        <f>IF(ISBLANK(D206),"",COUNTA($D$7:D206))</f>
        <v/>
      </c>
      <c r="B206" s="5"/>
      <c r="C206" s="6"/>
      <c r="D206" s="6"/>
      <c r="E206" s="13"/>
      <c r="F206" s="13"/>
      <c r="G206" s="7">
        <f t="shared" si="6"/>
        <v>0</v>
      </c>
      <c r="H206" s="8"/>
      <c r="I206" s="8"/>
      <c r="J206" s="8"/>
      <c r="K206" s="13"/>
      <c r="L206" s="13"/>
      <c r="M206" s="7">
        <f t="shared" si="7"/>
        <v>0</v>
      </c>
      <c r="N206" s="7"/>
      <c r="O206" s="9"/>
    </row>
    <row r="207" spans="1:15" x14ac:dyDescent="0.25">
      <c r="A207" s="23" t="str">
        <f>IF(ISBLANK(D207),"",COUNTA($D$7:D207))</f>
        <v/>
      </c>
      <c r="B207" s="5"/>
      <c r="C207" s="6"/>
      <c r="D207" s="6"/>
      <c r="E207" s="13"/>
      <c r="F207" s="13"/>
      <c r="G207" s="7">
        <f t="shared" si="6"/>
        <v>0</v>
      </c>
      <c r="H207" s="8"/>
      <c r="I207" s="8"/>
      <c r="J207" s="8"/>
      <c r="K207" s="13"/>
      <c r="L207" s="13"/>
      <c r="M207" s="7">
        <f t="shared" si="7"/>
        <v>0</v>
      </c>
      <c r="N207" s="7"/>
      <c r="O207" s="9"/>
    </row>
    <row r="208" spans="1:15" x14ac:dyDescent="0.25">
      <c r="A208" s="23" t="str">
        <f>IF(ISBLANK(D208),"",COUNTA($D$7:D208))</f>
        <v/>
      </c>
      <c r="B208" s="5"/>
      <c r="C208" s="6"/>
      <c r="D208" s="6"/>
      <c r="E208" s="13"/>
      <c r="F208" s="13"/>
      <c r="G208" s="7">
        <f t="shared" si="6"/>
        <v>0</v>
      </c>
      <c r="H208" s="8"/>
      <c r="I208" s="8"/>
      <c r="J208" s="8"/>
      <c r="K208" s="13"/>
      <c r="L208" s="13"/>
      <c r="M208" s="7">
        <f t="shared" si="7"/>
        <v>0</v>
      </c>
      <c r="N208" s="7"/>
      <c r="O208" s="9"/>
    </row>
    <row r="209" spans="1:15" x14ac:dyDescent="0.25">
      <c r="A209" s="23" t="str">
        <f>IF(ISBLANK(D209),"",COUNTA($D$7:D209))</f>
        <v/>
      </c>
      <c r="B209" s="5"/>
      <c r="C209" s="6"/>
      <c r="D209" s="6"/>
      <c r="E209" s="13"/>
      <c r="F209" s="13"/>
      <c r="G209" s="7">
        <f t="shared" si="6"/>
        <v>0</v>
      </c>
      <c r="H209" s="8"/>
      <c r="I209" s="8"/>
      <c r="J209" s="8"/>
      <c r="K209" s="13"/>
      <c r="L209" s="13"/>
      <c r="M209" s="7">
        <f t="shared" si="7"/>
        <v>0</v>
      </c>
      <c r="N209" s="7"/>
      <c r="O209" s="9"/>
    </row>
    <row r="210" spans="1:15" x14ac:dyDescent="0.25">
      <c r="A210" s="23" t="str">
        <f>IF(ISBLANK(D210),"",COUNTA($D$7:D210))</f>
        <v/>
      </c>
      <c r="B210" s="5"/>
      <c r="C210" s="6"/>
      <c r="D210" s="6"/>
      <c r="E210" s="13"/>
      <c r="F210" s="13"/>
      <c r="G210" s="7">
        <f t="shared" si="6"/>
        <v>0</v>
      </c>
      <c r="H210" s="8"/>
      <c r="I210" s="8"/>
      <c r="J210" s="8"/>
      <c r="K210" s="13"/>
      <c r="L210" s="13"/>
      <c r="M210" s="7">
        <f t="shared" si="7"/>
        <v>0</v>
      </c>
      <c r="N210" s="7"/>
      <c r="O210" s="9"/>
    </row>
    <row r="211" spans="1:15" x14ac:dyDescent="0.25">
      <c r="A211" s="23" t="str">
        <f>IF(ISBLANK(D211),"",COUNTA($D$7:D211))</f>
        <v/>
      </c>
      <c r="B211" s="5"/>
      <c r="C211" s="6"/>
      <c r="D211" s="6"/>
      <c r="E211" s="13"/>
      <c r="F211" s="13"/>
      <c r="G211" s="7">
        <f t="shared" si="6"/>
        <v>0</v>
      </c>
      <c r="H211" s="8"/>
      <c r="I211" s="8"/>
      <c r="J211" s="8"/>
      <c r="K211" s="13"/>
      <c r="L211" s="13"/>
      <c r="M211" s="7">
        <f t="shared" si="7"/>
        <v>0</v>
      </c>
      <c r="N211" s="7"/>
      <c r="O211" s="9"/>
    </row>
    <row r="212" spans="1:15" x14ac:dyDescent="0.25">
      <c r="A212" s="23" t="str">
        <f>IF(ISBLANK(D212),"",COUNTA($D$7:D212))</f>
        <v/>
      </c>
      <c r="B212" s="5"/>
      <c r="C212" s="6"/>
      <c r="D212" s="6"/>
      <c r="E212" s="13"/>
      <c r="F212" s="13"/>
      <c r="G212" s="7">
        <f t="shared" si="6"/>
        <v>0</v>
      </c>
      <c r="H212" s="8"/>
      <c r="I212" s="8"/>
      <c r="J212" s="8"/>
      <c r="K212" s="13"/>
      <c r="L212" s="13"/>
      <c r="M212" s="7">
        <f t="shared" si="7"/>
        <v>0</v>
      </c>
      <c r="N212" s="7"/>
      <c r="O212" s="9"/>
    </row>
    <row r="213" spans="1:15" x14ac:dyDescent="0.25">
      <c r="A213" s="23" t="str">
        <f>IF(ISBLANK(D213),"",COUNTA($D$7:D213))</f>
        <v/>
      </c>
      <c r="B213" s="5"/>
      <c r="C213" s="6"/>
      <c r="D213" s="6"/>
      <c r="E213" s="13"/>
      <c r="F213" s="13"/>
      <c r="G213" s="7">
        <f t="shared" si="6"/>
        <v>0</v>
      </c>
      <c r="H213" s="8"/>
      <c r="I213" s="8"/>
      <c r="J213" s="8"/>
      <c r="K213" s="13"/>
      <c r="L213" s="13"/>
      <c r="M213" s="7">
        <f t="shared" si="7"/>
        <v>0</v>
      </c>
      <c r="N213" s="7"/>
      <c r="O213" s="9"/>
    </row>
    <row r="214" spans="1:15" x14ac:dyDescent="0.25">
      <c r="A214" s="23" t="str">
        <f>IF(ISBLANK(D214),"",COUNTA($D$7:D214))</f>
        <v/>
      </c>
      <c r="B214" s="5"/>
      <c r="C214" s="6"/>
      <c r="D214" s="6"/>
      <c r="E214" s="13"/>
      <c r="F214" s="13"/>
      <c r="G214" s="7">
        <f t="shared" si="6"/>
        <v>0</v>
      </c>
      <c r="H214" s="8"/>
      <c r="I214" s="8"/>
      <c r="J214" s="8"/>
      <c r="K214" s="13"/>
      <c r="L214" s="13"/>
      <c r="M214" s="7">
        <f t="shared" si="7"/>
        <v>0</v>
      </c>
      <c r="N214" s="7"/>
      <c r="O214" s="9"/>
    </row>
    <row r="215" spans="1:15" x14ac:dyDescent="0.25">
      <c r="A215" s="23" t="str">
        <f>IF(ISBLANK(D215),"",COUNTA($D$7:D215))</f>
        <v/>
      </c>
      <c r="B215" s="5"/>
      <c r="C215" s="6"/>
      <c r="D215" s="6"/>
      <c r="E215" s="13"/>
      <c r="F215" s="13"/>
      <c r="G215" s="7">
        <f t="shared" si="6"/>
        <v>0</v>
      </c>
      <c r="H215" s="8"/>
      <c r="I215" s="8"/>
      <c r="J215" s="8"/>
      <c r="K215" s="13"/>
      <c r="L215" s="13"/>
      <c r="M215" s="7">
        <f t="shared" si="7"/>
        <v>0</v>
      </c>
      <c r="N215" s="7"/>
      <c r="O215" s="9"/>
    </row>
    <row r="216" spans="1:15" x14ac:dyDescent="0.25">
      <c r="A216" s="23" t="str">
        <f>IF(ISBLANK(D216),"",COUNTA($D$7:D216))</f>
        <v/>
      </c>
      <c r="B216" s="5"/>
      <c r="C216" s="6"/>
      <c r="D216" s="6"/>
      <c r="E216" s="13"/>
      <c r="F216" s="13"/>
      <c r="G216" s="7">
        <f t="shared" si="6"/>
        <v>0</v>
      </c>
      <c r="H216" s="8"/>
      <c r="I216" s="8"/>
      <c r="J216" s="8"/>
      <c r="K216" s="13"/>
      <c r="L216" s="13"/>
      <c r="M216" s="7">
        <f t="shared" si="7"/>
        <v>0</v>
      </c>
      <c r="N216" s="7"/>
      <c r="O216" s="9"/>
    </row>
    <row r="217" spans="1:15" x14ac:dyDescent="0.25">
      <c r="A217" s="23" t="str">
        <f>IF(ISBLANK(D217),"",COUNTA($D$7:D217))</f>
        <v/>
      </c>
      <c r="B217" s="5"/>
      <c r="C217" s="6"/>
      <c r="D217" s="6"/>
      <c r="E217" s="13"/>
      <c r="F217" s="13"/>
      <c r="G217" s="7">
        <f t="shared" si="6"/>
        <v>0</v>
      </c>
      <c r="H217" s="8"/>
      <c r="I217" s="8"/>
      <c r="J217" s="8"/>
      <c r="K217" s="13"/>
      <c r="L217" s="13"/>
      <c r="M217" s="7">
        <f t="shared" si="7"/>
        <v>0</v>
      </c>
      <c r="N217" s="7"/>
      <c r="O217" s="9"/>
    </row>
    <row r="218" spans="1:15" x14ac:dyDescent="0.25">
      <c r="A218" s="23" t="str">
        <f>IF(ISBLANK(D218),"",COUNTA($D$7:D218))</f>
        <v/>
      </c>
      <c r="B218" s="5"/>
      <c r="C218" s="6"/>
      <c r="D218" s="6"/>
      <c r="E218" s="13"/>
      <c r="F218" s="13"/>
      <c r="G218" s="7">
        <f t="shared" si="6"/>
        <v>0</v>
      </c>
      <c r="H218" s="8"/>
      <c r="I218" s="8"/>
      <c r="J218" s="8"/>
      <c r="K218" s="13"/>
      <c r="L218" s="13"/>
      <c r="M218" s="7">
        <f t="shared" si="7"/>
        <v>0</v>
      </c>
      <c r="N218" s="7"/>
      <c r="O218" s="9"/>
    </row>
    <row r="219" spans="1:15" x14ac:dyDescent="0.25">
      <c r="A219" s="23" t="str">
        <f>IF(ISBLANK(D219),"",COUNTA($D$7:D219))</f>
        <v/>
      </c>
      <c r="B219" s="5"/>
      <c r="C219" s="6"/>
      <c r="D219" s="6"/>
      <c r="E219" s="13"/>
      <c r="F219" s="13"/>
      <c r="G219" s="7">
        <f t="shared" si="6"/>
        <v>0</v>
      </c>
      <c r="H219" s="8"/>
      <c r="I219" s="8"/>
      <c r="J219" s="8"/>
      <c r="K219" s="13"/>
      <c r="L219" s="13"/>
      <c r="M219" s="7">
        <f t="shared" si="7"/>
        <v>0</v>
      </c>
      <c r="N219" s="7"/>
      <c r="O219" s="9"/>
    </row>
    <row r="220" spans="1:15" x14ac:dyDescent="0.25">
      <c r="A220" s="23" t="str">
        <f>IF(ISBLANK(D220),"",COUNTA($D$7:D220))</f>
        <v/>
      </c>
      <c r="B220" s="5"/>
      <c r="C220" s="6"/>
      <c r="D220" s="6"/>
      <c r="E220" s="13"/>
      <c r="F220" s="13"/>
      <c r="G220" s="7">
        <f t="shared" si="6"/>
        <v>0</v>
      </c>
      <c r="H220" s="8"/>
      <c r="I220" s="8"/>
      <c r="J220" s="8"/>
      <c r="K220" s="13"/>
      <c r="L220" s="13"/>
      <c r="M220" s="7">
        <f t="shared" si="7"/>
        <v>0</v>
      </c>
      <c r="N220" s="7"/>
      <c r="O220" s="9"/>
    </row>
    <row r="221" spans="1:15" x14ac:dyDescent="0.25">
      <c r="A221" s="23" t="str">
        <f>IF(ISBLANK(D221),"",COUNTA($D$7:D221))</f>
        <v/>
      </c>
      <c r="B221" s="5"/>
      <c r="C221" s="6"/>
      <c r="D221" s="6"/>
      <c r="E221" s="13"/>
      <c r="F221" s="13"/>
      <c r="G221" s="7">
        <f t="shared" si="6"/>
        <v>0</v>
      </c>
      <c r="H221" s="8"/>
      <c r="I221" s="8"/>
      <c r="J221" s="8"/>
      <c r="K221" s="13"/>
      <c r="L221" s="13"/>
      <c r="M221" s="7">
        <f t="shared" si="7"/>
        <v>0</v>
      </c>
      <c r="N221" s="7"/>
      <c r="O221" s="9"/>
    </row>
    <row r="222" spans="1:15" x14ac:dyDescent="0.25">
      <c r="A222" s="23" t="str">
        <f>IF(ISBLANK(D222),"",COUNTA($D$7:D222))</f>
        <v/>
      </c>
      <c r="B222" s="5"/>
      <c r="C222" s="6"/>
      <c r="D222" s="6"/>
      <c r="E222" s="13"/>
      <c r="F222" s="13"/>
      <c r="G222" s="7">
        <f t="shared" si="6"/>
        <v>0</v>
      </c>
      <c r="H222" s="8"/>
      <c r="I222" s="8"/>
      <c r="J222" s="8"/>
      <c r="K222" s="13"/>
      <c r="L222" s="13"/>
      <c r="M222" s="7">
        <f t="shared" si="7"/>
        <v>0</v>
      </c>
      <c r="N222" s="7"/>
      <c r="O222" s="9"/>
    </row>
    <row r="223" spans="1:15" x14ac:dyDescent="0.25">
      <c r="A223" s="23" t="str">
        <f>IF(ISBLANK(D223),"",COUNTA($D$7:D223))</f>
        <v/>
      </c>
      <c r="B223" s="5"/>
      <c r="C223" s="6"/>
      <c r="D223" s="6"/>
      <c r="E223" s="13"/>
      <c r="F223" s="13"/>
      <c r="G223" s="7">
        <f t="shared" si="6"/>
        <v>0</v>
      </c>
      <c r="H223" s="8"/>
      <c r="I223" s="8"/>
      <c r="J223" s="8"/>
      <c r="K223" s="13"/>
      <c r="L223" s="13"/>
      <c r="M223" s="7">
        <f t="shared" si="7"/>
        <v>0</v>
      </c>
      <c r="N223" s="7"/>
      <c r="O223" s="9"/>
    </row>
    <row r="224" spans="1:15" x14ac:dyDescent="0.25">
      <c r="A224" s="23" t="str">
        <f>IF(ISBLANK(D224),"",COUNTA($D$7:D224))</f>
        <v/>
      </c>
      <c r="B224" s="5"/>
      <c r="C224" s="6"/>
      <c r="D224" s="6"/>
      <c r="E224" s="13"/>
      <c r="F224" s="13"/>
      <c r="G224" s="7">
        <f t="shared" si="6"/>
        <v>0</v>
      </c>
      <c r="H224" s="8"/>
      <c r="I224" s="8"/>
      <c r="J224" s="8"/>
      <c r="K224" s="13"/>
      <c r="L224" s="13"/>
      <c r="M224" s="7">
        <f t="shared" si="7"/>
        <v>0</v>
      </c>
      <c r="N224" s="7"/>
      <c r="O224" s="9"/>
    </row>
    <row r="225" spans="1:15" x14ac:dyDescent="0.25">
      <c r="A225" s="23" t="str">
        <f>IF(ISBLANK(D225),"",COUNTA($D$7:D225))</f>
        <v/>
      </c>
      <c r="B225" s="5"/>
      <c r="C225" s="6"/>
      <c r="D225" s="6"/>
      <c r="E225" s="13"/>
      <c r="F225" s="13"/>
      <c r="G225" s="7">
        <f t="shared" si="6"/>
        <v>0</v>
      </c>
      <c r="H225" s="8"/>
      <c r="I225" s="8"/>
      <c r="J225" s="8"/>
      <c r="K225" s="13"/>
      <c r="L225" s="13"/>
      <c r="M225" s="7">
        <f t="shared" si="7"/>
        <v>0</v>
      </c>
      <c r="N225" s="7"/>
      <c r="O225" s="9"/>
    </row>
    <row r="226" spans="1:15" x14ac:dyDescent="0.25">
      <c r="A226" s="23" t="str">
        <f>IF(ISBLANK(D226),"",COUNTA($D$7:D226))</f>
        <v/>
      </c>
      <c r="B226" s="5"/>
      <c r="C226" s="6"/>
      <c r="D226" s="6"/>
      <c r="E226" s="13"/>
      <c r="F226" s="13"/>
      <c r="G226" s="7">
        <f t="shared" si="6"/>
        <v>0</v>
      </c>
      <c r="H226" s="8"/>
      <c r="I226" s="8"/>
      <c r="J226" s="8"/>
      <c r="K226" s="13"/>
      <c r="L226" s="13"/>
      <c r="M226" s="7">
        <f t="shared" si="7"/>
        <v>0</v>
      </c>
      <c r="N226" s="7"/>
      <c r="O226" s="9"/>
    </row>
    <row r="227" spans="1:15" x14ac:dyDescent="0.25">
      <c r="A227" s="23" t="str">
        <f>IF(ISBLANK(D227),"",COUNTA($D$7:D227))</f>
        <v/>
      </c>
      <c r="B227" s="5"/>
      <c r="C227" s="6"/>
      <c r="D227" s="6"/>
      <c r="E227" s="13"/>
      <c r="F227" s="13"/>
      <c r="G227" s="7">
        <f t="shared" si="6"/>
        <v>0</v>
      </c>
      <c r="H227" s="8"/>
      <c r="I227" s="8"/>
      <c r="J227" s="8"/>
      <c r="K227" s="13"/>
      <c r="L227" s="13"/>
      <c r="M227" s="7">
        <f t="shared" si="7"/>
        <v>0</v>
      </c>
      <c r="N227" s="7"/>
      <c r="O227" s="9"/>
    </row>
    <row r="228" spans="1:15" x14ac:dyDescent="0.25">
      <c r="A228" s="23" t="str">
        <f>IF(ISBLANK(D228),"",COUNTA($D$7:D228))</f>
        <v/>
      </c>
      <c r="B228" s="5"/>
      <c r="C228" s="6"/>
      <c r="D228" s="6"/>
      <c r="E228" s="13"/>
      <c r="F228" s="13"/>
      <c r="G228" s="7">
        <f t="shared" si="6"/>
        <v>0</v>
      </c>
      <c r="H228" s="8"/>
      <c r="I228" s="8"/>
      <c r="J228" s="8"/>
      <c r="K228" s="13"/>
      <c r="L228" s="13"/>
      <c r="M228" s="7">
        <f t="shared" si="7"/>
        <v>0</v>
      </c>
      <c r="N228" s="7"/>
      <c r="O228" s="9"/>
    </row>
    <row r="229" spans="1:15" x14ac:dyDescent="0.25">
      <c r="A229" s="23" t="str">
        <f>IF(ISBLANK(D229),"",COUNTA($D$7:D229))</f>
        <v/>
      </c>
      <c r="B229" s="5"/>
      <c r="C229" s="6"/>
      <c r="D229" s="6"/>
      <c r="E229" s="13"/>
      <c r="F229" s="13"/>
      <c r="G229" s="7">
        <f t="shared" si="6"/>
        <v>0</v>
      </c>
      <c r="H229" s="8"/>
      <c r="I229" s="8"/>
      <c r="J229" s="8"/>
      <c r="K229" s="13"/>
      <c r="L229" s="13"/>
      <c r="M229" s="7">
        <f t="shared" si="7"/>
        <v>0</v>
      </c>
      <c r="N229" s="7"/>
      <c r="O229" s="9"/>
    </row>
    <row r="230" spans="1:15" x14ac:dyDescent="0.25">
      <c r="A230" s="23" t="str">
        <f>IF(ISBLANK(D230),"",COUNTA($D$7:D230))</f>
        <v/>
      </c>
      <c r="B230" s="5"/>
      <c r="C230" s="6"/>
      <c r="D230" s="6"/>
      <c r="E230" s="13"/>
      <c r="F230" s="13"/>
      <c r="G230" s="7">
        <f t="shared" si="6"/>
        <v>0</v>
      </c>
      <c r="H230" s="8"/>
      <c r="I230" s="8"/>
      <c r="J230" s="8"/>
      <c r="K230" s="13"/>
      <c r="L230" s="13"/>
      <c r="M230" s="7">
        <f t="shared" si="7"/>
        <v>0</v>
      </c>
      <c r="N230" s="7"/>
      <c r="O230" s="9"/>
    </row>
    <row r="231" spans="1:15" x14ac:dyDescent="0.25">
      <c r="A231" s="23" t="str">
        <f>IF(ISBLANK(D231),"",COUNTA($D$7:D231))</f>
        <v/>
      </c>
      <c r="B231" s="5"/>
      <c r="C231" s="6"/>
      <c r="D231" s="6"/>
      <c r="E231" s="13"/>
      <c r="F231" s="13"/>
      <c r="G231" s="7">
        <f t="shared" si="6"/>
        <v>0</v>
      </c>
      <c r="H231" s="8"/>
      <c r="I231" s="8"/>
      <c r="J231" s="8"/>
      <c r="K231" s="13"/>
      <c r="L231" s="13"/>
      <c r="M231" s="7">
        <f t="shared" si="7"/>
        <v>0</v>
      </c>
      <c r="N231" s="7"/>
      <c r="O231" s="9"/>
    </row>
    <row r="232" spans="1:15" x14ac:dyDescent="0.25">
      <c r="A232" s="23" t="str">
        <f>IF(ISBLANK(D232),"",COUNTA($D$7:D232))</f>
        <v/>
      </c>
      <c r="B232" s="5"/>
      <c r="C232" s="6"/>
      <c r="D232" s="6"/>
      <c r="E232" s="13"/>
      <c r="F232" s="13"/>
      <c r="G232" s="7">
        <f t="shared" si="6"/>
        <v>0</v>
      </c>
      <c r="H232" s="8"/>
      <c r="I232" s="8"/>
      <c r="J232" s="8"/>
      <c r="K232" s="13"/>
      <c r="L232" s="13"/>
      <c r="M232" s="7">
        <f t="shared" si="7"/>
        <v>0</v>
      </c>
      <c r="N232" s="7"/>
      <c r="O232" s="9"/>
    </row>
    <row r="233" spans="1:15" x14ac:dyDescent="0.25">
      <c r="A233" s="23" t="str">
        <f>IF(ISBLANK(D233),"",COUNTA($D$7:D233))</f>
        <v/>
      </c>
      <c r="B233" s="5"/>
      <c r="C233" s="6"/>
      <c r="D233" s="6"/>
      <c r="E233" s="13"/>
      <c r="F233" s="13"/>
      <c r="G233" s="7">
        <f t="shared" si="6"/>
        <v>0</v>
      </c>
      <c r="H233" s="8"/>
      <c r="I233" s="8"/>
      <c r="J233" s="8"/>
      <c r="K233" s="13"/>
      <c r="L233" s="13"/>
      <c r="M233" s="7">
        <f t="shared" si="7"/>
        <v>0</v>
      </c>
      <c r="N233" s="7"/>
      <c r="O233" s="9"/>
    </row>
    <row r="234" spans="1:15" x14ac:dyDescent="0.25">
      <c r="A234" s="23" t="str">
        <f>IF(ISBLANK(D234),"",COUNTA($D$7:D234))</f>
        <v/>
      </c>
      <c r="B234" s="5"/>
      <c r="C234" s="6"/>
      <c r="D234" s="6"/>
      <c r="E234" s="13"/>
      <c r="F234" s="13"/>
      <c r="G234" s="7">
        <f t="shared" si="6"/>
        <v>0</v>
      </c>
      <c r="H234" s="8"/>
      <c r="I234" s="8"/>
      <c r="J234" s="8"/>
      <c r="K234" s="13"/>
      <c r="L234" s="13"/>
      <c r="M234" s="7">
        <f t="shared" si="7"/>
        <v>0</v>
      </c>
      <c r="N234" s="7"/>
      <c r="O234" s="9"/>
    </row>
    <row r="235" spans="1:15" x14ac:dyDescent="0.25">
      <c r="A235" s="23" t="str">
        <f>IF(ISBLANK(D235),"",COUNTA($D$7:D235))</f>
        <v/>
      </c>
      <c r="B235" s="5"/>
      <c r="C235" s="6"/>
      <c r="D235" s="6"/>
      <c r="E235" s="13"/>
      <c r="F235" s="13"/>
      <c r="G235" s="7">
        <f t="shared" si="6"/>
        <v>0</v>
      </c>
      <c r="H235" s="8"/>
      <c r="I235" s="8"/>
      <c r="J235" s="8"/>
      <c r="K235" s="13"/>
      <c r="L235" s="13"/>
      <c r="M235" s="7">
        <f t="shared" si="7"/>
        <v>0</v>
      </c>
      <c r="N235" s="7"/>
      <c r="O235" s="9"/>
    </row>
    <row r="236" spans="1:15" x14ac:dyDescent="0.25">
      <c r="A236" s="23" t="str">
        <f>IF(ISBLANK(D236),"",COUNTA($D$7:D236))</f>
        <v/>
      </c>
      <c r="B236" s="5"/>
      <c r="C236" s="6"/>
      <c r="D236" s="6"/>
      <c r="E236" s="13"/>
      <c r="F236" s="13"/>
      <c r="G236" s="7">
        <f t="shared" si="6"/>
        <v>0</v>
      </c>
      <c r="H236" s="8"/>
      <c r="I236" s="8"/>
      <c r="J236" s="8"/>
      <c r="K236" s="13"/>
      <c r="L236" s="13"/>
      <c r="M236" s="7">
        <f t="shared" si="7"/>
        <v>0</v>
      </c>
      <c r="N236" s="7"/>
      <c r="O236" s="9"/>
    </row>
    <row r="237" spans="1:15" x14ac:dyDescent="0.25">
      <c r="A237" s="23" t="str">
        <f>IF(ISBLANK(D237),"",COUNTA($D$7:D237))</f>
        <v/>
      </c>
      <c r="B237" s="5"/>
      <c r="C237" s="6"/>
      <c r="D237" s="6"/>
      <c r="E237" s="13"/>
      <c r="F237" s="13"/>
      <c r="G237" s="7">
        <f t="shared" si="6"/>
        <v>0</v>
      </c>
      <c r="H237" s="8"/>
      <c r="I237" s="8"/>
      <c r="J237" s="8"/>
      <c r="K237" s="13"/>
      <c r="L237" s="13"/>
      <c r="M237" s="7">
        <f t="shared" si="7"/>
        <v>0</v>
      </c>
      <c r="N237" s="7"/>
      <c r="O237" s="9"/>
    </row>
    <row r="238" spans="1:15" x14ac:dyDescent="0.25">
      <c r="A238" s="23" t="str">
        <f>IF(ISBLANK(D238),"",COUNTA($D$7:D238))</f>
        <v/>
      </c>
      <c r="B238" s="5"/>
      <c r="C238" s="6"/>
      <c r="D238" s="6"/>
      <c r="E238" s="13"/>
      <c r="F238" s="13"/>
      <c r="G238" s="7">
        <f t="shared" si="6"/>
        <v>0</v>
      </c>
      <c r="H238" s="8"/>
      <c r="I238" s="8"/>
      <c r="J238" s="8"/>
      <c r="K238" s="13"/>
      <c r="L238" s="13"/>
      <c r="M238" s="7">
        <f t="shared" si="7"/>
        <v>0</v>
      </c>
      <c r="N238" s="7"/>
      <c r="O238" s="9"/>
    </row>
    <row r="239" spans="1:15" x14ac:dyDescent="0.25">
      <c r="A239" s="23" t="str">
        <f>IF(ISBLANK(D239),"",COUNTA($D$7:D239))</f>
        <v/>
      </c>
      <c r="B239" s="5"/>
      <c r="C239" s="6"/>
      <c r="D239" s="6"/>
      <c r="E239" s="13"/>
      <c r="F239" s="13"/>
      <c r="G239" s="7">
        <f t="shared" si="6"/>
        <v>0</v>
      </c>
      <c r="H239" s="8"/>
      <c r="I239" s="8"/>
      <c r="J239" s="8"/>
      <c r="K239" s="13"/>
      <c r="L239" s="13"/>
      <c r="M239" s="7">
        <f t="shared" si="7"/>
        <v>0</v>
      </c>
      <c r="N239" s="7"/>
      <c r="O239" s="9"/>
    </row>
    <row r="240" spans="1:15" x14ac:dyDescent="0.25">
      <c r="A240" s="23" t="str">
        <f>IF(ISBLANK(D240),"",COUNTA($D$7:D240))</f>
        <v/>
      </c>
      <c r="B240" s="5"/>
      <c r="C240" s="6"/>
      <c r="D240" s="6"/>
      <c r="E240" s="13"/>
      <c r="F240" s="13"/>
      <c r="G240" s="7">
        <f t="shared" si="6"/>
        <v>0</v>
      </c>
      <c r="H240" s="8"/>
      <c r="I240" s="8"/>
      <c r="J240" s="8"/>
      <c r="K240" s="13"/>
      <c r="L240" s="13"/>
      <c r="M240" s="7">
        <f t="shared" si="7"/>
        <v>0</v>
      </c>
      <c r="N240" s="7"/>
      <c r="O240" s="9"/>
    </row>
    <row r="241" spans="1:15" x14ac:dyDescent="0.25">
      <c r="A241" s="23" t="str">
        <f>IF(ISBLANK(D241),"",COUNTA($D$7:D241))</f>
        <v/>
      </c>
      <c r="B241" s="5"/>
      <c r="C241" s="6"/>
      <c r="D241" s="6"/>
      <c r="E241" s="13"/>
      <c r="F241" s="13"/>
      <c r="G241" s="7">
        <f t="shared" si="6"/>
        <v>0</v>
      </c>
      <c r="H241" s="8"/>
      <c r="I241" s="8"/>
      <c r="J241" s="8"/>
      <c r="K241" s="13"/>
      <c r="L241" s="13"/>
      <c r="M241" s="7">
        <f t="shared" si="7"/>
        <v>0</v>
      </c>
      <c r="N241" s="7"/>
      <c r="O241" s="9"/>
    </row>
    <row r="242" spans="1:15" x14ac:dyDescent="0.25">
      <c r="A242" s="23" t="str">
        <f>IF(ISBLANK(D242),"",COUNTA($D$7:D242))</f>
        <v/>
      </c>
      <c r="B242" s="5"/>
      <c r="C242" s="6"/>
      <c r="D242" s="6"/>
      <c r="E242" s="13"/>
      <c r="F242" s="13"/>
      <c r="G242" s="7">
        <f t="shared" si="6"/>
        <v>0</v>
      </c>
      <c r="H242" s="8"/>
      <c r="I242" s="8"/>
      <c r="J242" s="8"/>
      <c r="K242" s="13"/>
      <c r="L242" s="13"/>
      <c r="M242" s="7">
        <f t="shared" si="7"/>
        <v>0</v>
      </c>
      <c r="N242" s="7"/>
      <c r="O242" s="9"/>
    </row>
    <row r="243" spans="1:15" x14ac:dyDescent="0.25">
      <c r="A243" s="23" t="str">
        <f>IF(ISBLANK(D243),"",COUNTA($D$7:D243))</f>
        <v/>
      </c>
      <c r="B243" s="5"/>
      <c r="C243" s="6"/>
      <c r="D243" s="6"/>
      <c r="E243" s="13"/>
      <c r="F243" s="13"/>
      <c r="G243" s="7">
        <f t="shared" si="6"/>
        <v>0</v>
      </c>
      <c r="H243" s="8"/>
      <c r="I243" s="8"/>
      <c r="J243" s="8"/>
      <c r="K243" s="13"/>
      <c r="L243" s="13"/>
      <c r="M243" s="7">
        <f t="shared" si="7"/>
        <v>0</v>
      </c>
      <c r="N243" s="7"/>
      <c r="O243" s="9"/>
    </row>
    <row r="244" spans="1:15" x14ac:dyDescent="0.25">
      <c r="A244" s="23" t="str">
        <f>IF(ISBLANK(D244),"",COUNTA($D$7:D244))</f>
        <v/>
      </c>
      <c r="B244" s="5"/>
      <c r="C244" s="6"/>
      <c r="D244" s="6"/>
      <c r="E244" s="13"/>
      <c r="F244" s="13"/>
      <c r="G244" s="7">
        <f t="shared" si="6"/>
        <v>0</v>
      </c>
      <c r="H244" s="8"/>
      <c r="I244" s="8"/>
      <c r="J244" s="8"/>
      <c r="K244" s="13"/>
      <c r="L244" s="13"/>
      <c r="M244" s="7">
        <f t="shared" si="7"/>
        <v>0</v>
      </c>
      <c r="N244" s="7"/>
      <c r="O244" s="9"/>
    </row>
    <row r="245" spans="1:15" x14ac:dyDescent="0.25">
      <c r="A245" s="23" t="str">
        <f>IF(ISBLANK(D245),"",COUNTA($D$7:D245))</f>
        <v/>
      </c>
      <c r="B245" s="5"/>
      <c r="C245" s="6"/>
      <c r="D245" s="6"/>
      <c r="E245" s="13"/>
      <c r="F245" s="13"/>
      <c r="G245" s="7">
        <f t="shared" si="6"/>
        <v>0</v>
      </c>
      <c r="H245" s="8"/>
      <c r="I245" s="8"/>
      <c r="J245" s="8"/>
      <c r="K245" s="13"/>
      <c r="L245" s="13"/>
      <c r="M245" s="7">
        <f t="shared" si="7"/>
        <v>0</v>
      </c>
      <c r="N245" s="7"/>
      <c r="O245" s="9"/>
    </row>
    <row r="246" spans="1:15" x14ac:dyDescent="0.25">
      <c r="A246" s="23" t="str">
        <f>IF(ISBLANK(D246),"",COUNTA($D$7:D246))</f>
        <v/>
      </c>
      <c r="B246" s="5"/>
      <c r="C246" s="6"/>
      <c r="D246" s="6"/>
      <c r="E246" s="13"/>
      <c r="F246" s="13"/>
      <c r="G246" s="7">
        <f t="shared" si="6"/>
        <v>0</v>
      </c>
      <c r="H246" s="8"/>
      <c r="I246" s="8"/>
      <c r="J246" s="8"/>
      <c r="K246" s="13"/>
      <c r="L246" s="13"/>
      <c r="M246" s="7">
        <f t="shared" si="7"/>
        <v>0</v>
      </c>
      <c r="N246" s="7"/>
      <c r="O246" s="9"/>
    </row>
    <row r="247" spans="1:15" x14ac:dyDescent="0.25">
      <c r="A247" s="23" t="str">
        <f>IF(ISBLANK(D247),"",COUNTA($D$7:D247))</f>
        <v/>
      </c>
      <c r="B247" s="5"/>
      <c r="C247" s="6"/>
      <c r="D247" s="6"/>
      <c r="E247" s="13"/>
      <c r="F247" s="13"/>
      <c r="G247" s="7">
        <f t="shared" si="6"/>
        <v>0</v>
      </c>
      <c r="H247" s="8"/>
      <c r="I247" s="8"/>
      <c r="J247" s="8"/>
      <c r="K247" s="13"/>
      <c r="L247" s="13"/>
      <c r="M247" s="7">
        <f t="shared" si="7"/>
        <v>0</v>
      </c>
      <c r="N247" s="7"/>
      <c r="O247" s="9"/>
    </row>
    <row r="248" spans="1:15" x14ac:dyDescent="0.25">
      <c r="A248" s="23" t="str">
        <f>IF(ISBLANK(D248),"",COUNTA($D$7:D248))</f>
        <v/>
      </c>
      <c r="B248" s="5"/>
      <c r="C248" s="6"/>
      <c r="D248" s="6"/>
      <c r="E248" s="13"/>
      <c r="F248" s="13"/>
      <c r="G248" s="7">
        <f t="shared" si="6"/>
        <v>0</v>
      </c>
      <c r="H248" s="8"/>
      <c r="I248" s="8"/>
      <c r="J248" s="8"/>
      <c r="K248" s="13"/>
      <c r="L248" s="13"/>
      <c r="M248" s="7">
        <f t="shared" si="7"/>
        <v>0</v>
      </c>
      <c r="N248" s="7"/>
      <c r="O248" s="9"/>
    </row>
    <row r="249" spans="1:15" x14ac:dyDescent="0.25">
      <c r="A249" s="23" t="str">
        <f>IF(ISBLANK(D249),"",COUNTA($D$7:D249))</f>
        <v/>
      </c>
      <c r="B249" s="5"/>
      <c r="C249" s="6"/>
      <c r="D249" s="6"/>
      <c r="E249" s="13"/>
      <c r="F249" s="13"/>
      <c r="G249" s="7">
        <f t="shared" si="6"/>
        <v>0</v>
      </c>
      <c r="H249" s="8"/>
      <c r="I249" s="8"/>
      <c r="J249" s="8"/>
      <c r="K249" s="13"/>
      <c r="L249" s="13"/>
      <c r="M249" s="7">
        <f t="shared" si="7"/>
        <v>0</v>
      </c>
      <c r="N249" s="7"/>
      <c r="O249" s="9"/>
    </row>
    <row r="250" spans="1:15" x14ac:dyDescent="0.25">
      <c r="A250" s="23" t="str">
        <f>IF(ISBLANK(D250),"",COUNTA($D$7:D250))</f>
        <v/>
      </c>
      <c r="B250" s="5"/>
      <c r="C250" s="6"/>
      <c r="D250" s="6"/>
      <c r="E250" s="13"/>
      <c r="F250" s="13"/>
      <c r="G250" s="7">
        <f t="shared" si="6"/>
        <v>0</v>
      </c>
      <c r="H250" s="8"/>
      <c r="I250" s="8"/>
      <c r="J250" s="8"/>
      <c r="K250" s="13"/>
      <c r="L250" s="13"/>
      <c r="M250" s="7">
        <f t="shared" si="7"/>
        <v>0</v>
      </c>
      <c r="N250" s="7"/>
      <c r="O250" s="9"/>
    </row>
    <row r="251" spans="1:15" x14ac:dyDescent="0.25">
      <c r="A251" s="23" t="str">
        <f>IF(ISBLANK(D251),"",COUNTA($D$7:D251))</f>
        <v/>
      </c>
      <c r="B251" s="5"/>
      <c r="C251" s="6"/>
      <c r="D251" s="6"/>
      <c r="E251" s="13"/>
      <c r="F251" s="13"/>
      <c r="G251" s="7">
        <f t="shared" si="6"/>
        <v>0</v>
      </c>
      <c r="H251" s="8"/>
      <c r="I251" s="8"/>
      <c r="J251" s="8"/>
      <c r="K251" s="13"/>
      <c r="L251" s="13"/>
      <c r="M251" s="7">
        <f t="shared" si="7"/>
        <v>0</v>
      </c>
      <c r="N251" s="7"/>
      <c r="O251" s="9"/>
    </row>
    <row r="252" spans="1:15" x14ac:dyDescent="0.25">
      <c r="A252" s="23" t="str">
        <f>IF(ISBLANK(D252),"",COUNTA($D$7:D252))</f>
        <v/>
      </c>
      <c r="B252" s="5"/>
      <c r="C252" s="6"/>
      <c r="D252" s="6"/>
      <c r="E252" s="13"/>
      <c r="F252" s="13"/>
      <c r="G252" s="7">
        <f t="shared" si="6"/>
        <v>0</v>
      </c>
      <c r="H252" s="8"/>
      <c r="I252" s="8"/>
      <c r="J252" s="8"/>
      <c r="K252" s="13"/>
      <c r="L252" s="13"/>
      <c r="M252" s="7">
        <f t="shared" si="7"/>
        <v>0</v>
      </c>
      <c r="N252" s="7"/>
      <c r="O252" s="9"/>
    </row>
    <row r="253" spans="1:15" x14ac:dyDescent="0.25">
      <c r="A253" s="23" t="str">
        <f>IF(ISBLANK(D253),"",COUNTA($D$7:D253))</f>
        <v/>
      </c>
      <c r="B253" s="5"/>
      <c r="C253" s="6"/>
      <c r="D253" s="6"/>
      <c r="E253" s="13"/>
      <c r="F253" s="13"/>
      <c r="G253" s="7">
        <f t="shared" si="6"/>
        <v>0</v>
      </c>
      <c r="H253" s="8"/>
      <c r="I253" s="8"/>
      <c r="J253" s="8"/>
      <c r="K253" s="13"/>
      <c r="L253" s="13"/>
      <c r="M253" s="7">
        <f t="shared" si="7"/>
        <v>0</v>
      </c>
      <c r="N253" s="7"/>
      <c r="O253" s="9"/>
    </row>
    <row r="254" spans="1:15" x14ac:dyDescent="0.25">
      <c r="A254" s="23" t="str">
        <f>IF(ISBLANK(D254),"",COUNTA($D$7:D254))</f>
        <v/>
      </c>
      <c r="B254" s="5"/>
      <c r="C254" s="6"/>
      <c r="D254" s="6"/>
      <c r="E254" s="13"/>
      <c r="F254" s="13"/>
      <c r="G254" s="7">
        <f t="shared" si="6"/>
        <v>0</v>
      </c>
      <c r="H254" s="8"/>
      <c r="I254" s="8"/>
      <c r="J254" s="8"/>
      <c r="K254" s="13"/>
      <c r="L254" s="13"/>
      <c r="M254" s="7">
        <f t="shared" si="7"/>
        <v>0</v>
      </c>
      <c r="N254" s="7"/>
      <c r="O254" s="9"/>
    </row>
    <row r="255" spans="1:15" x14ac:dyDescent="0.25">
      <c r="A255" s="23" t="str">
        <f>IF(ISBLANK(D255),"",COUNTA($D$7:D255))</f>
        <v/>
      </c>
      <c r="B255" s="5"/>
      <c r="C255" s="6"/>
      <c r="D255" s="6"/>
      <c r="E255" s="13"/>
      <c r="F255" s="13"/>
      <c r="G255" s="7">
        <f t="shared" si="6"/>
        <v>0</v>
      </c>
      <c r="H255" s="8"/>
      <c r="I255" s="8"/>
      <c r="J255" s="8"/>
      <c r="K255" s="13"/>
      <c r="L255" s="13"/>
      <c r="M255" s="7">
        <f t="shared" si="7"/>
        <v>0</v>
      </c>
      <c r="N255" s="7"/>
      <c r="O255" s="9"/>
    </row>
    <row r="256" spans="1:15" x14ac:dyDescent="0.25">
      <c r="A256" s="23" t="str">
        <f>IF(ISBLANK(D256),"",COUNTA($D$7:D256))</f>
        <v/>
      </c>
      <c r="B256" s="5"/>
      <c r="C256" s="6"/>
      <c r="D256" s="6"/>
      <c r="E256" s="13"/>
      <c r="F256" s="13"/>
      <c r="G256" s="7">
        <f t="shared" si="6"/>
        <v>0</v>
      </c>
      <c r="H256" s="8"/>
      <c r="I256" s="8"/>
      <c r="J256" s="8"/>
      <c r="K256" s="13"/>
      <c r="L256" s="13"/>
      <c r="M256" s="7">
        <f t="shared" si="7"/>
        <v>0</v>
      </c>
      <c r="N256" s="7"/>
      <c r="O256" s="9"/>
    </row>
    <row r="257" spans="1:15" x14ac:dyDescent="0.25">
      <c r="A257" s="23" t="str">
        <f>IF(ISBLANK(D257),"",COUNTA($D$7:D257))</f>
        <v/>
      </c>
      <c r="B257" s="5"/>
      <c r="C257" s="6"/>
      <c r="D257" s="6"/>
      <c r="E257" s="13"/>
      <c r="F257" s="13"/>
      <c r="G257" s="7">
        <f t="shared" si="6"/>
        <v>0</v>
      </c>
      <c r="H257" s="8"/>
      <c r="I257" s="8"/>
      <c r="J257" s="8"/>
      <c r="K257" s="13"/>
      <c r="L257" s="13"/>
      <c r="M257" s="7">
        <f t="shared" si="7"/>
        <v>0</v>
      </c>
      <c r="N257" s="7"/>
      <c r="O257" s="9"/>
    </row>
    <row r="258" spans="1:15" x14ac:dyDescent="0.25">
      <c r="A258" s="23" t="str">
        <f>IF(ISBLANK(D258),"",COUNTA($D$7:D258))</f>
        <v/>
      </c>
      <c r="B258" s="5"/>
      <c r="C258" s="6"/>
      <c r="D258" s="6"/>
      <c r="E258" s="13"/>
      <c r="F258" s="13"/>
      <c r="G258" s="7">
        <f t="shared" si="6"/>
        <v>0</v>
      </c>
      <c r="H258" s="8"/>
      <c r="I258" s="8"/>
      <c r="J258" s="8"/>
      <c r="K258" s="13"/>
      <c r="L258" s="13"/>
      <c r="M258" s="7">
        <f t="shared" si="7"/>
        <v>0</v>
      </c>
      <c r="N258" s="7"/>
      <c r="O258" s="9"/>
    </row>
    <row r="259" spans="1:15" x14ac:dyDescent="0.25">
      <c r="A259" s="23" t="str">
        <f>IF(ISBLANK(D259),"",COUNTA($D$7:D259))</f>
        <v/>
      </c>
      <c r="B259" s="5"/>
      <c r="C259" s="6"/>
      <c r="D259" s="6"/>
      <c r="E259" s="13"/>
      <c r="F259" s="13"/>
      <c r="G259" s="7">
        <f t="shared" si="6"/>
        <v>0</v>
      </c>
      <c r="H259" s="8"/>
      <c r="I259" s="8"/>
      <c r="J259" s="8"/>
      <c r="K259" s="13"/>
      <c r="L259" s="13"/>
      <c r="M259" s="7">
        <f t="shared" si="7"/>
        <v>0</v>
      </c>
      <c r="N259" s="7"/>
      <c r="O259" s="9"/>
    </row>
    <row r="260" spans="1:15" x14ac:dyDescent="0.25">
      <c r="A260" s="23" t="str">
        <f>IF(ISBLANK(D260),"",COUNTA($D$7:D260))</f>
        <v/>
      </c>
      <c r="B260" s="5"/>
      <c r="C260" s="6"/>
      <c r="D260" s="6"/>
      <c r="E260" s="13"/>
      <c r="F260" s="13"/>
      <c r="G260" s="7">
        <f t="shared" si="6"/>
        <v>0</v>
      </c>
      <c r="H260" s="8"/>
      <c r="I260" s="8"/>
      <c r="J260" s="8"/>
      <c r="K260" s="13"/>
      <c r="L260" s="13"/>
      <c r="M260" s="7">
        <f t="shared" si="7"/>
        <v>0</v>
      </c>
      <c r="N260" s="7"/>
      <c r="O260" s="9"/>
    </row>
    <row r="261" spans="1:15" x14ac:dyDescent="0.25">
      <c r="A261" s="23" t="str">
        <f>IF(ISBLANK(D261),"",COUNTA($D$7:D261))</f>
        <v/>
      </c>
      <c r="B261" s="5"/>
      <c r="C261" s="6"/>
      <c r="D261" s="6"/>
      <c r="E261" s="13"/>
      <c r="F261" s="13"/>
      <c r="G261" s="7">
        <f t="shared" si="6"/>
        <v>0</v>
      </c>
      <c r="H261" s="8"/>
      <c r="I261" s="8"/>
      <c r="J261" s="8"/>
      <c r="K261" s="13"/>
      <c r="L261" s="13"/>
      <c r="M261" s="7">
        <f t="shared" si="7"/>
        <v>0</v>
      </c>
      <c r="N261" s="7"/>
      <c r="O261" s="9"/>
    </row>
    <row r="262" spans="1:15" x14ac:dyDescent="0.25">
      <c r="A262" s="23" t="str">
        <f>IF(ISBLANK(D262),"",COUNTA($D$7:D262))</f>
        <v/>
      </c>
      <c r="B262" s="5"/>
      <c r="C262" s="6"/>
      <c r="D262" s="6"/>
      <c r="E262" s="13"/>
      <c r="F262" s="13"/>
      <c r="G262" s="7">
        <f t="shared" si="6"/>
        <v>0</v>
      </c>
      <c r="H262" s="8"/>
      <c r="I262" s="8"/>
      <c r="J262" s="8"/>
      <c r="K262" s="13"/>
      <c r="L262" s="13"/>
      <c r="M262" s="7">
        <f t="shared" si="7"/>
        <v>0</v>
      </c>
      <c r="N262" s="7"/>
      <c r="O262" s="9"/>
    </row>
    <row r="263" spans="1:15" x14ac:dyDescent="0.25">
      <c r="A263" s="23" t="str">
        <f>IF(ISBLANK(D263),"",COUNTA($D$7:D263))</f>
        <v/>
      </c>
      <c r="B263" s="5"/>
      <c r="C263" s="6"/>
      <c r="D263" s="6"/>
      <c r="E263" s="13"/>
      <c r="F263" s="13"/>
      <c r="G263" s="7">
        <f t="shared" si="6"/>
        <v>0</v>
      </c>
      <c r="H263" s="8"/>
      <c r="I263" s="8"/>
      <c r="J263" s="8"/>
      <c r="K263" s="13"/>
      <c r="L263" s="13"/>
      <c r="M263" s="7">
        <f t="shared" si="7"/>
        <v>0</v>
      </c>
      <c r="N263" s="7"/>
      <c r="O263" s="9"/>
    </row>
    <row r="264" spans="1:15" x14ac:dyDescent="0.25">
      <c r="A264" s="23" t="str">
        <f>IF(ISBLANK(D264),"",COUNTA($D$7:D264))</f>
        <v/>
      </c>
      <c r="B264" s="5"/>
      <c r="C264" s="6"/>
      <c r="D264" s="6"/>
      <c r="E264" s="13"/>
      <c r="F264" s="13"/>
      <c r="G264" s="7">
        <f t="shared" ref="G264:G327" si="8">IF(AND(E264&lt;&gt;"",F264&lt;&gt;""),(VLOOKUP(E264,$AC$2:$AD$7,2,FALSE)*VLOOKUP(F264,$AE$2:$AF$6,2,FALSE)),0)</f>
        <v>0</v>
      </c>
      <c r="H264" s="8"/>
      <c r="I264" s="8"/>
      <c r="J264" s="8"/>
      <c r="K264" s="13"/>
      <c r="L264" s="13"/>
      <c r="M264" s="7">
        <f t="shared" ref="M264:M327" si="9">IF(C264="Opportunity",0.01,IF(AND(K264&lt;&gt;"",L264&lt;&gt;""),(VLOOKUP(K264,$AC$2:$AD$7,2,FALSE))*(VLOOKUP(L264,$AE$2:$AF$6,2,FALSE)),0))</f>
        <v>0</v>
      </c>
      <c r="N264" s="7"/>
      <c r="O264" s="9"/>
    </row>
    <row r="265" spans="1:15" x14ac:dyDescent="0.25">
      <c r="A265" s="23" t="str">
        <f>IF(ISBLANK(D265),"",COUNTA($D$7:D265))</f>
        <v/>
      </c>
      <c r="B265" s="5"/>
      <c r="C265" s="6"/>
      <c r="D265" s="6"/>
      <c r="E265" s="13"/>
      <c r="F265" s="13"/>
      <c r="G265" s="7">
        <f t="shared" si="8"/>
        <v>0</v>
      </c>
      <c r="H265" s="8"/>
      <c r="I265" s="8"/>
      <c r="J265" s="8"/>
      <c r="K265" s="13"/>
      <c r="L265" s="13"/>
      <c r="M265" s="7">
        <f t="shared" si="9"/>
        <v>0</v>
      </c>
      <c r="N265" s="7"/>
      <c r="O265" s="9"/>
    </row>
    <row r="266" spans="1:15" x14ac:dyDescent="0.25">
      <c r="A266" s="23" t="str">
        <f>IF(ISBLANK(D266),"",COUNTA($D$7:D266))</f>
        <v/>
      </c>
      <c r="B266" s="5"/>
      <c r="C266" s="6"/>
      <c r="D266" s="6"/>
      <c r="E266" s="13"/>
      <c r="F266" s="13"/>
      <c r="G266" s="7">
        <f t="shared" si="8"/>
        <v>0</v>
      </c>
      <c r="H266" s="8"/>
      <c r="I266" s="8"/>
      <c r="J266" s="8"/>
      <c r="K266" s="13"/>
      <c r="L266" s="13"/>
      <c r="M266" s="7">
        <f t="shared" si="9"/>
        <v>0</v>
      </c>
      <c r="N266" s="7"/>
      <c r="O266" s="9"/>
    </row>
    <row r="267" spans="1:15" x14ac:dyDescent="0.25">
      <c r="A267" s="23" t="str">
        <f>IF(ISBLANK(D267),"",COUNTA($D$7:D267))</f>
        <v/>
      </c>
      <c r="B267" s="5"/>
      <c r="C267" s="6"/>
      <c r="D267" s="6"/>
      <c r="E267" s="13"/>
      <c r="F267" s="13"/>
      <c r="G267" s="7">
        <f t="shared" si="8"/>
        <v>0</v>
      </c>
      <c r="H267" s="8"/>
      <c r="I267" s="8"/>
      <c r="J267" s="8"/>
      <c r="K267" s="13"/>
      <c r="L267" s="13"/>
      <c r="M267" s="7">
        <f t="shared" si="9"/>
        <v>0</v>
      </c>
      <c r="N267" s="7"/>
      <c r="O267" s="9"/>
    </row>
    <row r="268" spans="1:15" x14ac:dyDescent="0.25">
      <c r="A268" s="23" t="str">
        <f>IF(ISBLANK(D268),"",COUNTA($D$7:D268))</f>
        <v/>
      </c>
      <c r="B268" s="5"/>
      <c r="C268" s="6"/>
      <c r="D268" s="6"/>
      <c r="E268" s="13"/>
      <c r="F268" s="13"/>
      <c r="G268" s="7">
        <f t="shared" si="8"/>
        <v>0</v>
      </c>
      <c r="H268" s="8"/>
      <c r="I268" s="8"/>
      <c r="J268" s="8"/>
      <c r="K268" s="13"/>
      <c r="L268" s="13"/>
      <c r="M268" s="7">
        <f t="shared" si="9"/>
        <v>0</v>
      </c>
      <c r="N268" s="7"/>
      <c r="O268" s="9"/>
    </row>
    <row r="269" spans="1:15" x14ac:dyDescent="0.25">
      <c r="A269" s="23" t="str">
        <f>IF(ISBLANK(D269),"",COUNTA($D$7:D269))</f>
        <v/>
      </c>
      <c r="B269" s="5"/>
      <c r="C269" s="6"/>
      <c r="D269" s="6"/>
      <c r="E269" s="13"/>
      <c r="F269" s="13"/>
      <c r="G269" s="7">
        <f t="shared" si="8"/>
        <v>0</v>
      </c>
      <c r="H269" s="8"/>
      <c r="I269" s="8"/>
      <c r="J269" s="8"/>
      <c r="K269" s="13"/>
      <c r="L269" s="13"/>
      <c r="M269" s="7">
        <f t="shared" si="9"/>
        <v>0</v>
      </c>
      <c r="N269" s="7"/>
      <c r="O269" s="9"/>
    </row>
    <row r="270" spans="1:15" x14ac:dyDescent="0.25">
      <c r="A270" s="23" t="str">
        <f>IF(ISBLANK(D270),"",COUNTA($D$7:D270))</f>
        <v/>
      </c>
      <c r="B270" s="5"/>
      <c r="C270" s="6"/>
      <c r="D270" s="6"/>
      <c r="E270" s="13"/>
      <c r="F270" s="13"/>
      <c r="G270" s="7">
        <f t="shared" si="8"/>
        <v>0</v>
      </c>
      <c r="H270" s="8"/>
      <c r="I270" s="8"/>
      <c r="J270" s="8"/>
      <c r="K270" s="13"/>
      <c r="L270" s="13"/>
      <c r="M270" s="7">
        <f t="shared" si="9"/>
        <v>0</v>
      </c>
      <c r="N270" s="7"/>
      <c r="O270" s="9"/>
    </row>
    <row r="271" spans="1:15" x14ac:dyDescent="0.25">
      <c r="A271" s="23" t="str">
        <f>IF(ISBLANK(D271),"",COUNTA($D$7:D271))</f>
        <v/>
      </c>
      <c r="B271" s="5"/>
      <c r="C271" s="6"/>
      <c r="D271" s="6"/>
      <c r="E271" s="13"/>
      <c r="F271" s="13"/>
      <c r="G271" s="7">
        <f t="shared" si="8"/>
        <v>0</v>
      </c>
      <c r="H271" s="8"/>
      <c r="I271" s="8"/>
      <c r="J271" s="8"/>
      <c r="K271" s="13"/>
      <c r="L271" s="13"/>
      <c r="M271" s="7">
        <f t="shared" si="9"/>
        <v>0</v>
      </c>
      <c r="N271" s="7"/>
      <c r="O271" s="9"/>
    </row>
    <row r="272" spans="1:15" x14ac:dyDescent="0.25">
      <c r="A272" s="23" t="str">
        <f>IF(ISBLANK(D272),"",COUNTA($D$7:D272))</f>
        <v/>
      </c>
      <c r="B272" s="5"/>
      <c r="C272" s="6"/>
      <c r="D272" s="6"/>
      <c r="E272" s="13"/>
      <c r="F272" s="13"/>
      <c r="G272" s="7">
        <f t="shared" si="8"/>
        <v>0</v>
      </c>
      <c r="H272" s="8"/>
      <c r="I272" s="8"/>
      <c r="J272" s="8"/>
      <c r="K272" s="13"/>
      <c r="L272" s="13"/>
      <c r="M272" s="7">
        <f t="shared" si="9"/>
        <v>0</v>
      </c>
      <c r="N272" s="7"/>
      <c r="O272" s="9"/>
    </row>
    <row r="273" spans="1:15" x14ac:dyDescent="0.25">
      <c r="A273" s="23" t="str">
        <f>IF(ISBLANK(D273),"",COUNTA($D$7:D273))</f>
        <v/>
      </c>
      <c r="B273" s="5"/>
      <c r="C273" s="6"/>
      <c r="D273" s="6"/>
      <c r="E273" s="13"/>
      <c r="F273" s="13"/>
      <c r="G273" s="7">
        <f t="shared" si="8"/>
        <v>0</v>
      </c>
      <c r="H273" s="8"/>
      <c r="I273" s="8"/>
      <c r="J273" s="8"/>
      <c r="K273" s="13"/>
      <c r="L273" s="13"/>
      <c r="M273" s="7">
        <f t="shared" si="9"/>
        <v>0</v>
      </c>
      <c r="N273" s="7"/>
      <c r="O273" s="9"/>
    </row>
    <row r="274" spans="1:15" x14ac:dyDescent="0.25">
      <c r="A274" s="23" t="str">
        <f>IF(ISBLANK(D274),"",COUNTA($D$7:D274))</f>
        <v/>
      </c>
      <c r="B274" s="5"/>
      <c r="C274" s="6"/>
      <c r="D274" s="6"/>
      <c r="E274" s="13"/>
      <c r="F274" s="13"/>
      <c r="G274" s="7">
        <f t="shared" si="8"/>
        <v>0</v>
      </c>
      <c r="H274" s="8"/>
      <c r="I274" s="8"/>
      <c r="J274" s="8"/>
      <c r="K274" s="13"/>
      <c r="L274" s="13"/>
      <c r="M274" s="7">
        <f t="shared" si="9"/>
        <v>0</v>
      </c>
      <c r="N274" s="7"/>
      <c r="O274" s="9"/>
    </row>
    <row r="275" spans="1:15" x14ac:dyDescent="0.25">
      <c r="A275" s="23" t="str">
        <f>IF(ISBLANK(D275),"",COUNTA($D$7:D275))</f>
        <v/>
      </c>
      <c r="B275" s="5"/>
      <c r="C275" s="6"/>
      <c r="D275" s="6"/>
      <c r="E275" s="13"/>
      <c r="F275" s="13"/>
      <c r="G275" s="7">
        <f t="shared" si="8"/>
        <v>0</v>
      </c>
      <c r="H275" s="8"/>
      <c r="I275" s="8"/>
      <c r="J275" s="8"/>
      <c r="K275" s="13"/>
      <c r="L275" s="13"/>
      <c r="M275" s="7">
        <f t="shared" si="9"/>
        <v>0</v>
      </c>
      <c r="N275" s="7"/>
      <c r="O275" s="9"/>
    </row>
    <row r="276" spans="1:15" x14ac:dyDescent="0.25">
      <c r="A276" s="23" t="str">
        <f>IF(ISBLANK(D276),"",COUNTA($D$7:D276))</f>
        <v/>
      </c>
      <c r="B276" s="5"/>
      <c r="C276" s="6"/>
      <c r="D276" s="6"/>
      <c r="E276" s="13"/>
      <c r="F276" s="13"/>
      <c r="G276" s="7">
        <f t="shared" si="8"/>
        <v>0</v>
      </c>
      <c r="H276" s="8"/>
      <c r="I276" s="8"/>
      <c r="J276" s="8"/>
      <c r="K276" s="13"/>
      <c r="L276" s="13"/>
      <c r="M276" s="7">
        <f t="shared" si="9"/>
        <v>0</v>
      </c>
      <c r="N276" s="7"/>
      <c r="O276" s="9"/>
    </row>
    <row r="277" spans="1:15" x14ac:dyDescent="0.25">
      <c r="A277" s="23" t="str">
        <f>IF(ISBLANK(D277),"",COUNTA($D$7:D277))</f>
        <v/>
      </c>
      <c r="B277" s="5"/>
      <c r="C277" s="6"/>
      <c r="D277" s="6"/>
      <c r="E277" s="13"/>
      <c r="F277" s="13"/>
      <c r="G277" s="7">
        <f t="shared" si="8"/>
        <v>0</v>
      </c>
      <c r="H277" s="8"/>
      <c r="I277" s="8"/>
      <c r="J277" s="8"/>
      <c r="K277" s="13"/>
      <c r="L277" s="13"/>
      <c r="M277" s="7">
        <f t="shared" si="9"/>
        <v>0</v>
      </c>
      <c r="N277" s="7"/>
      <c r="O277" s="9"/>
    </row>
    <row r="278" spans="1:15" x14ac:dyDescent="0.25">
      <c r="A278" s="23" t="str">
        <f>IF(ISBLANK(D278),"",COUNTA($D$7:D278))</f>
        <v/>
      </c>
      <c r="B278" s="5"/>
      <c r="C278" s="6"/>
      <c r="D278" s="6"/>
      <c r="E278" s="13"/>
      <c r="F278" s="13"/>
      <c r="G278" s="7">
        <f t="shared" si="8"/>
        <v>0</v>
      </c>
      <c r="H278" s="8"/>
      <c r="I278" s="8"/>
      <c r="J278" s="8"/>
      <c r="K278" s="13"/>
      <c r="L278" s="13"/>
      <c r="M278" s="7">
        <f t="shared" si="9"/>
        <v>0</v>
      </c>
      <c r="N278" s="7"/>
      <c r="O278" s="9"/>
    </row>
    <row r="279" spans="1:15" x14ac:dyDescent="0.25">
      <c r="A279" s="23" t="str">
        <f>IF(ISBLANK(D279),"",COUNTA($D$7:D279))</f>
        <v/>
      </c>
      <c r="B279" s="5"/>
      <c r="C279" s="6"/>
      <c r="D279" s="6"/>
      <c r="E279" s="13"/>
      <c r="F279" s="13"/>
      <c r="G279" s="7">
        <f t="shared" si="8"/>
        <v>0</v>
      </c>
      <c r="H279" s="8"/>
      <c r="I279" s="8"/>
      <c r="J279" s="8"/>
      <c r="K279" s="13"/>
      <c r="L279" s="13"/>
      <c r="M279" s="7">
        <f t="shared" si="9"/>
        <v>0</v>
      </c>
      <c r="N279" s="7"/>
      <c r="O279" s="9"/>
    </row>
    <row r="280" spans="1:15" x14ac:dyDescent="0.25">
      <c r="A280" s="23" t="str">
        <f>IF(ISBLANK(D280),"",COUNTA($D$7:D280))</f>
        <v/>
      </c>
      <c r="B280" s="5"/>
      <c r="C280" s="6"/>
      <c r="D280" s="6"/>
      <c r="E280" s="13"/>
      <c r="F280" s="13"/>
      <c r="G280" s="7">
        <f t="shared" si="8"/>
        <v>0</v>
      </c>
      <c r="H280" s="8"/>
      <c r="I280" s="8"/>
      <c r="J280" s="8"/>
      <c r="K280" s="13"/>
      <c r="L280" s="13"/>
      <c r="M280" s="7">
        <f t="shared" si="9"/>
        <v>0</v>
      </c>
      <c r="N280" s="7"/>
      <c r="O280" s="9"/>
    </row>
    <row r="281" spans="1:15" x14ac:dyDescent="0.25">
      <c r="A281" s="23" t="str">
        <f>IF(ISBLANK(D281),"",COUNTA($D$7:D281))</f>
        <v/>
      </c>
      <c r="B281" s="5"/>
      <c r="C281" s="6"/>
      <c r="D281" s="6"/>
      <c r="E281" s="13"/>
      <c r="F281" s="13"/>
      <c r="G281" s="7">
        <f t="shared" si="8"/>
        <v>0</v>
      </c>
      <c r="H281" s="8"/>
      <c r="I281" s="8"/>
      <c r="J281" s="8"/>
      <c r="K281" s="13"/>
      <c r="L281" s="13"/>
      <c r="M281" s="7">
        <f t="shared" si="9"/>
        <v>0</v>
      </c>
      <c r="N281" s="7"/>
      <c r="O281" s="9"/>
    </row>
    <row r="282" spans="1:15" x14ac:dyDescent="0.25">
      <c r="A282" s="23" t="str">
        <f>IF(ISBLANK(D282),"",COUNTA($D$7:D282))</f>
        <v/>
      </c>
      <c r="B282" s="5"/>
      <c r="C282" s="6"/>
      <c r="D282" s="6"/>
      <c r="E282" s="13"/>
      <c r="F282" s="13"/>
      <c r="G282" s="7">
        <f t="shared" si="8"/>
        <v>0</v>
      </c>
      <c r="H282" s="8"/>
      <c r="I282" s="8"/>
      <c r="J282" s="8"/>
      <c r="K282" s="13"/>
      <c r="L282" s="13"/>
      <c r="M282" s="7">
        <f t="shared" si="9"/>
        <v>0</v>
      </c>
      <c r="N282" s="7"/>
      <c r="O282" s="9"/>
    </row>
    <row r="283" spans="1:15" x14ac:dyDescent="0.25">
      <c r="A283" s="23" t="str">
        <f>IF(ISBLANK(D283),"",COUNTA($D$7:D283))</f>
        <v/>
      </c>
      <c r="B283" s="5"/>
      <c r="C283" s="6"/>
      <c r="D283" s="6"/>
      <c r="E283" s="13"/>
      <c r="F283" s="13"/>
      <c r="G283" s="7">
        <f t="shared" si="8"/>
        <v>0</v>
      </c>
      <c r="H283" s="8"/>
      <c r="I283" s="8"/>
      <c r="J283" s="8"/>
      <c r="K283" s="13"/>
      <c r="L283" s="13"/>
      <c r="M283" s="7">
        <f t="shared" si="9"/>
        <v>0</v>
      </c>
      <c r="N283" s="7"/>
      <c r="O283" s="9"/>
    </row>
    <row r="284" spans="1:15" x14ac:dyDescent="0.25">
      <c r="A284" s="23" t="str">
        <f>IF(ISBLANK(D284),"",COUNTA($D$7:D284))</f>
        <v/>
      </c>
      <c r="B284" s="5"/>
      <c r="C284" s="6"/>
      <c r="D284" s="6"/>
      <c r="E284" s="13"/>
      <c r="F284" s="13"/>
      <c r="G284" s="7">
        <f t="shared" si="8"/>
        <v>0</v>
      </c>
      <c r="H284" s="8"/>
      <c r="I284" s="8"/>
      <c r="J284" s="8"/>
      <c r="K284" s="13"/>
      <c r="L284" s="13"/>
      <c r="M284" s="7">
        <f t="shared" si="9"/>
        <v>0</v>
      </c>
      <c r="N284" s="7"/>
      <c r="O284" s="9"/>
    </row>
    <row r="285" spans="1:15" x14ac:dyDescent="0.25">
      <c r="A285" s="23" t="str">
        <f>IF(ISBLANK(D285),"",COUNTA($D$7:D285))</f>
        <v/>
      </c>
      <c r="B285" s="5"/>
      <c r="C285" s="6"/>
      <c r="D285" s="6"/>
      <c r="E285" s="13"/>
      <c r="F285" s="13"/>
      <c r="G285" s="7">
        <f t="shared" si="8"/>
        <v>0</v>
      </c>
      <c r="H285" s="8"/>
      <c r="I285" s="8"/>
      <c r="J285" s="8"/>
      <c r="K285" s="13"/>
      <c r="L285" s="13"/>
      <c r="M285" s="7">
        <f t="shared" si="9"/>
        <v>0</v>
      </c>
      <c r="N285" s="7"/>
      <c r="O285" s="9"/>
    </row>
    <row r="286" spans="1:15" x14ac:dyDescent="0.25">
      <c r="A286" s="23" t="str">
        <f>IF(ISBLANK(D286),"",COUNTA($D$7:D286))</f>
        <v/>
      </c>
      <c r="B286" s="5"/>
      <c r="C286" s="6"/>
      <c r="D286" s="6"/>
      <c r="E286" s="13"/>
      <c r="F286" s="13"/>
      <c r="G286" s="7">
        <f t="shared" si="8"/>
        <v>0</v>
      </c>
      <c r="H286" s="8"/>
      <c r="I286" s="8"/>
      <c r="J286" s="8"/>
      <c r="K286" s="13"/>
      <c r="L286" s="13"/>
      <c r="M286" s="7">
        <f t="shared" si="9"/>
        <v>0</v>
      </c>
      <c r="N286" s="7"/>
      <c r="O286" s="9"/>
    </row>
    <row r="287" spans="1:15" x14ac:dyDescent="0.25">
      <c r="A287" s="23" t="str">
        <f>IF(ISBLANK(D287),"",COUNTA($D$7:D287))</f>
        <v/>
      </c>
      <c r="B287" s="5"/>
      <c r="C287" s="6"/>
      <c r="D287" s="6"/>
      <c r="E287" s="13"/>
      <c r="F287" s="13"/>
      <c r="G287" s="7">
        <f t="shared" si="8"/>
        <v>0</v>
      </c>
      <c r="H287" s="8"/>
      <c r="I287" s="8"/>
      <c r="J287" s="8"/>
      <c r="K287" s="13"/>
      <c r="L287" s="13"/>
      <c r="M287" s="7">
        <f t="shared" si="9"/>
        <v>0</v>
      </c>
      <c r="N287" s="7"/>
      <c r="O287" s="9"/>
    </row>
    <row r="288" spans="1:15" x14ac:dyDescent="0.25">
      <c r="A288" s="23" t="str">
        <f>IF(ISBLANK(D288),"",COUNTA($D$7:D288))</f>
        <v/>
      </c>
      <c r="B288" s="5"/>
      <c r="C288" s="6"/>
      <c r="D288" s="6"/>
      <c r="E288" s="13"/>
      <c r="F288" s="13"/>
      <c r="G288" s="7">
        <f t="shared" si="8"/>
        <v>0</v>
      </c>
      <c r="H288" s="8"/>
      <c r="I288" s="8"/>
      <c r="J288" s="8"/>
      <c r="K288" s="13"/>
      <c r="L288" s="13"/>
      <c r="M288" s="7">
        <f t="shared" si="9"/>
        <v>0</v>
      </c>
      <c r="N288" s="7"/>
      <c r="O288" s="9"/>
    </row>
    <row r="289" spans="1:15" x14ac:dyDescent="0.25">
      <c r="A289" s="23" t="str">
        <f>IF(ISBLANK(D289),"",COUNTA($D$7:D289))</f>
        <v/>
      </c>
      <c r="B289" s="5"/>
      <c r="C289" s="6"/>
      <c r="D289" s="6"/>
      <c r="E289" s="13"/>
      <c r="F289" s="13"/>
      <c r="G289" s="7">
        <f t="shared" si="8"/>
        <v>0</v>
      </c>
      <c r="H289" s="8"/>
      <c r="I289" s="8"/>
      <c r="J289" s="8"/>
      <c r="K289" s="13"/>
      <c r="L289" s="13"/>
      <c r="M289" s="7">
        <f t="shared" si="9"/>
        <v>0</v>
      </c>
      <c r="N289" s="7"/>
      <c r="O289" s="9"/>
    </row>
    <row r="290" spans="1:15" x14ac:dyDescent="0.25">
      <c r="A290" s="23" t="str">
        <f>IF(ISBLANK(D290),"",COUNTA($D$7:D290))</f>
        <v/>
      </c>
      <c r="B290" s="5"/>
      <c r="C290" s="6"/>
      <c r="D290" s="6"/>
      <c r="E290" s="13"/>
      <c r="F290" s="13"/>
      <c r="G290" s="7">
        <f t="shared" si="8"/>
        <v>0</v>
      </c>
      <c r="H290" s="8"/>
      <c r="I290" s="8"/>
      <c r="J290" s="8"/>
      <c r="K290" s="13"/>
      <c r="L290" s="13"/>
      <c r="M290" s="7">
        <f t="shared" si="9"/>
        <v>0</v>
      </c>
      <c r="N290" s="7"/>
      <c r="O290" s="9"/>
    </row>
    <row r="291" spans="1:15" x14ac:dyDescent="0.25">
      <c r="A291" s="23" t="str">
        <f>IF(ISBLANK(D291),"",COUNTA($D$7:D291))</f>
        <v/>
      </c>
      <c r="B291" s="5"/>
      <c r="C291" s="6"/>
      <c r="D291" s="6"/>
      <c r="E291" s="13"/>
      <c r="F291" s="13"/>
      <c r="G291" s="7">
        <f t="shared" si="8"/>
        <v>0</v>
      </c>
      <c r="H291" s="8"/>
      <c r="I291" s="8"/>
      <c r="J291" s="8"/>
      <c r="K291" s="13"/>
      <c r="L291" s="13"/>
      <c r="M291" s="7">
        <f t="shared" si="9"/>
        <v>0</v>
      </c>
      <c r="N291" s="7"/>
      <c r="O291" s="9"/>
    </row>
    <row r="292" spans="1:15" x14ac:dyDescent="0.25">
      <c r="A292" s="23" t="str">
        <f>IF(ISBLANK(D292),"",COUNTA($D$7:D292))</f>
        <v/>
      </c>
      <c r="B292" s="5"/>
      <c r="C292" s="6"/>
      <c r="D292" s="6"/>
      <c r="E292" s="13"/>
      <c r="F292" s="13"/>
      <c r="G292" s="7">
        <f t="shared" si="8"/>
        <v>0</v>
      </c>
      <c r="H292" s="8"/>
      <c r="I292" s="8"/>
      <c r="J292" s="8"/>
      <c r="K292" s="13"/>
      <c r="L292" s="13"/>
      <c r="M292" s="7">
        <f t="shared" si="9"/>
        <v>0</v>
      </c>
      <c r="N292" s="7"/>
      <c r="O292" s="9"/>
    </row>
    <row r="293" spans="1:15" x14ac:dyDescent="0.25">
      <c r="A293" s="23" t="str">
        <f>IF(ISBLANK(D293),"",COUNTA($D$7:D293))</f>
        <v/>
      </c>
      <c r="B293" s="5"/>
      <c r="C293" s="6"/>
      <c r="D293" s="6"/>
      <c r="E293" s="13"/>
      <c r="F293" s="13"/>
      <c r="G293" s="7">
        <f t="shared" si="8"/>
        <v>0</v>
      </c>
      <c r="H293" s="8"/>
      <c r="I293" s="8"/>
      <c r="J293" s="8"/>
      <c r="K293" s="13"/>
      <c r="L293" s="13"/>
      <c r="M293" s="7">
        <f t="shared" si="9"/>
        <v>0</v>
      </c>
      <c r="N293" s="7"/>
      <c r="O293" s="9"/>
    </row>
    <row r="294" spans="1:15" x14ac:dyDescent="0.25">
      <c r="A294" s="23" t="str">
        <f>IF(ISBLANK(D294),"",COUNTA($D$7:D294))</f>
        <v/>
      </c>
      <c r="B294" s="5"/>
      <c r="C294" s="6"/>
      <c r="D294" s="6"/>
      <c r="E294" s="13"/>
      <c r="F294" s="13"/>
      <c r="G294" s="7">
        <f t="shared" si="8"/>
        <v>0</v>
      </c>
      <c r="H294" s="8"/>
      <c r="I294" s="8"/>
      <c r="J294" s="8"/>
      <c r="K294" s="13"/>
      <c r="L294" s="13"/>
      <c r="M294" s="7">
        <f t="shared" si="9"/>
        <v>0</v>
      </c>
      <c r="N294" s="7"/>
      <c r="O294" s="9"/>
    </row>
    <row r="295" spans="1:15" x14ac:dyDescent="0.25">
      <c r="A295" s="23" t="str">
        <f>IF(ISBLANK(D295),"",COUNTA($D$7:D295))</f>
        <v/>
      </c>
      <c r="B295" s="5"/>
      <c r="C295" s="6"/>
      <c r="D295" s="6"/>
      <c r="E295" s="13"/>
      <c r="F295" s="13"/>
      <c r="G295" s="7">
        <f t="shared" si="8"/>
        <v>0</v>
      </c>
      <c r="H295" s="8"/>
      <c r="I295" s="8"/>
      <c r="J295" s="8"/>
      <c r="K295" s="13"/>
      <c r="L295" s="13"/>
      <c r="M295" s="7">
        <f t="shared" si="9"/>
        <v>0</v>
      </c>
      <c r="N295" s="7"/>
      <c r="O295" s="9"/>
    </row>
    <row r="296" spans="1:15" x14ac:dyDescent="0.25">
      <c r="A296" s="23" t="str">
        <f>IF(ISBLANK(D296),"",COUNTA($D$7:D296))</f>
        <v/>
      </c>
      <c r="B296" s="5"/>
      <c r="C296" s="6"/>
      <c r="D296" s="6"/>
      <c r="E296" s="13"/>
      <c r="F296" s="13"/>
      <c r="G296" s="7">
        <f t="shared" si="8"/>
        <v>0</v>
      </c>
      <c r="H296" s="8"/>
      <c r="I296" s="8"/>
      <c r="J296" s="8"/>
      <c r="K296" s="13"/>
      <c r="L296" s="13"/>
      <c r="M296" s="7">
        <f t="shared" si="9"/>
        <v>0</v>
      </c>
      <c r="N296" s="7"/>
      <c r="O296" s="9"/>
    </row>
    <row r="297" spans="1:15" x14ac:dyDescent="0.25">
      <c r="A297" s="23" t="str">
        <f>IF(ISBLANK(D297),"",COUNTA($D$7:D297))</f>
        <v/>
      </c>
      <c r="B297" s="5"/>
      <c r="C297" s="6"/>
      <c r="D297" s="6"/>
      <c r="E297" s="13"/>
      <c r="F297" s="13"/>
      <c r="G297" s="7">
        <f t="shared" si="8"/>
        <v>0</v>
      </c>
      <c r="H297" s="8"/>
      <c r="I297" s="8"/>
      <c r="J297" s="8"/>
      <c r="K297" s="13"/>
      <c r="L297" s="13"/>
      <c r="M297" s="7">
        <f t="shared" si="9"/>
        <v>0</v>
      </c>
      <c r="N297" s="7"/>
      <c r="O297" s="9"/>
    </row>
    <row r="298" spans="1:15" x14ac:dyDescent="0.25">
      <c r="A298" s="23" t="str">
        <f>IF(ISBLANK(D298),"",COUNTA($D$7:D298))</f>
        <v/>
      </c>
      <c r="B298" s="5"/>
      <c r="C298" s="6"/>
      <c r="D298" s="6"/>
      <c r="E298" s="13"/>
      <c r="F298" s="13"/>
      <c r="G298" s="7">
        <f t="shared" si="8"/>
        <v>0</v>
      </c>
      <c r="H298" s="8"/>
      <c r="I298" s="8"/>
      <c r="J298" s="8"/>
      <c r="K298" s="13"/>
      <c r="L298" s="13"/>
      <c r="M298" s="7">
        <f t="shared" si="9"/>
        <v>0</v>
      </c>
      <c r="N298" s="7"/>
      <c r="O298" s="9"/>
    </row>
    <row r="299" spans="1:15" x14ac:dyDescent="0.25">
      <c r="A299" s="23" t="str">
        <f>IF(ISBLANK(D299),"",COUNTA($D$7:D299))</f>
        <v/>
      </c>
      <c r="B299" s="5"/>
      <c r="C299" s="6"/>
      <c r="D299" s="6"/>
      <c r="E299" s="13"/>
      <c r="F299" s="13"/>
      <c r="G299" s="7">
        <f t="shared" si="8"/>
        <v>0</v>
      </c>
      <c r="H299" s="8"/>
      <c r="I299" s="8"/>
      <c r="J299" s="8"/>
      <c r="K299" s="13"/>
      <c r="L299" s="13"/>
      <c r="M299" s="7">
        <f t="shared" si="9"/>
        <v>0</v>
      </c>
      <c r="N299" s="7"/>
      <c r="O299" s="9"/>
    </row>
    <row r="300" spans="1:15" x14ac:dyDescent="0.25">
      <c r="A300" s="23" t="str">
        <f>IF(ISBLANK(D300),"",COUNTA($D$7:D300))</f>
        <v/>
      </c>
      <c r="B300" s="5"/>
      <c r="C300" s="6"/>
      <c r="D300" s="6"/>
      <c r="E300" s="13"/>
      <c r="F300" s="13"/>
      <c r="G300" s="7">
        <f t="shared" si="8"/>
        <v>0</v>
      </c>
      <c r="H300" s="8"/>
      <c r="I300" s="8"/>
      <c r="J300" s="8"/>
      <c r="K300" s="13"/>
      <c r="L300" s="13"/>
      <c r="M300" s="7">
        <f t="shared" si="9"/>
        <v>0</v>
      </c>
      <c r="N300" s="7"/>
      <c r="O300" s="9"/>
    </row>
    <row r="301" spans="1:15" x14ac:dyDescent="0.25">
      <c r="A301" s="23" t="str">
        <f>IF(ISBLANK(D301),"",COUNTA($D$7:D301))</f>
        <v/>
      </c>
      <c r="B301" s="5"/>
      <c r="C301" s="6"/>
      <c r="D301" s="6"/>
      <c r="E301" s="13"/>
      <c r="F301" s="13"/>
      <c r="G301" s="7">
        <f t="shared" si="8"/>
        <v>0</v>
      </c>
      <c r="H301" s="8"/>
      <c r="I301" s="8"/>
      <c r="J301" s="8"/>
      <c r="K301" s="13"/>
      <c r="L301" s="13"/>
      <c r="M301" s="7">
        <f t="shared" si="9"/>
        <v>0</v>
      </c>
      <c r="N301" s="7"/>
      <c r="O301" s="9"/>
    </row>
    <row r="302" spans="1:15" x14ac:dyDescent="0.25">
      <c r="A302" s="23" t="str">
        <f>IF(ISBLANK(D302),"",COUNTA($D$7:D302))</f>
        <v/>
      </c>
      <c r="B302" s="5"/>
      <c r="C302" s="6"/>
      <c r="D302" s="6"/>
      <c r="E302" s="13"/>
      <c r="F302" s="13"/>
      <c r="G302" s="7">
        <f t="shared" si="8"/>
        <v>0</v>
      </c>
      <c r="H302" s="8"/>
      <c r="I302" s="8"/>
      <c r="J302" s="8"/>
      <c r="K302" s="13"/>
      <c r="L302" s="13"/>
      <c r="M302" s="7">
        <f t="shared" si="9"/>
        <v>0</v>
      </c>
      <c r="N302" s="7"/>
      <c r="O302" s="9"/>
    </row>
    <row r="303" spans="1:15" x14ac:dyDescent="0.25">
      <c r="A303" s="23" t="str">
        <f>IF(ISBLANK(D303),"",COUNTA($D$7:D303))</f>
        <v/>
      </c>
      <c r="B303" s="5"/>
      <c r="C303" s="6"/>
      <c r="D303" s="6"/>
      <c r="E303" s="13"/>
      <c r="F303" s="13"/>
      <c r="G303" s="7">
        <f t="shared" si="8"/>
        <v>0</v>
      </c>
      <c r="H303" s="8"/>
      <c r="I303" s="8"/>
      <c r="J303" s="8"/>
      <c r="K303" s="13"/>
      <c r="L303" s="13"/>
      <c r="M303" s="7">
        <f t="shared" si="9"/>
        <v>0</v>
      </c>
      <c r="N303" s="7"/>
      <c r="O303" s="9"/>
    </row>
    <row r="304" spans="1:15" x14ac:dyDescent="0.25">
      <c r="A304" s="23" t="str">
        <f>IF(ISBLANK(D304),"",COUNTA($D$7:D304))</f>
        <v/>
      </c>
      <c r="B304" s="5"/>
      <c r="C304" s="6"/>
      <c r="D304" s="6"/>
      <c r="E304" s="13"/>
      <c r="F304" s="13"/>
      <c r="G304" s="7">
        <f t="shared" si="8"/>
        <v>0</v>
      </c>
      <c r="H304" s="8"/>
      <c r="I304" s="8"/>
      <c r="J304" s="8"/>
      <c r="K304" s="13"/>
      <c r="L304" s="13"/>
      <c r="M304" s="7">
        <f t="shared" si="9"/>
        <v>0</v>
      </c>
      <c r="N304" s="7"/>
      <c r="O304" s="9"/>
    </row>
    <row r="305" spans="1:15" x14ac:dyDescent="0.25">
      <c r="A305" s="23" t="str">
        <f>IF(ISBLANK(D305),"",COUNTA($D$7:D305))</f>
        <v/>
      </c>
      <c r="B305" s="5"/>
      <c r="C305" s="6"/>
      <c r="D305" s="6"/>
      <c r="E305" s="13"/>
      <c r="F305" s="13"/>
      <c r="G305" s="7">
        <f t="shared" si="8"/>
        <v>0</v>
      </c>
      <c r="H305" s="8"/>
      <c r="I305" s="8"/>
      <c r="J305" s="8"/>
      <c r="K305" s="13"/>
      <c r="L305" s="13"/>
      <c r="M305" s="7">
        <f t="shared" si="9"/>
        <v>0</v>
      </c>
      <c r="N305" s="7"/>
      <c r="O305" s="9"/>
    </row>
    <row r="306" spans="1:15" x14ac:dyDescent="0.25">
      <c r="A306" s="23" t="str">
        <f>IF(ISBLANK(D306),"",COUNTA($D$7:D306))</f>
        <v/>
      </c>
      <c r="B306" s="5"/>
      <c r="C306" s="6"/>
      <c r="D306" s="6"/>
      <c r="E306" s="13"/>
      <c r="F306" s="13"/>
      <c r="G306" s="7">
        <f t="shared" si="8"/>
        <v>0</v>
      </c>
      <c r="H306" s="8"/>
      <c r="I306" s="8"/>
      <c r="J306" s="8"/>
      <c r="K306" s="13"/>
      <c r="L306" s="13"/>
      <c r="M306" s="7">
        <f t="shared" si="9"/>
        <v>0</v>
      </c>
      <c r="N306" s="7"/>
      <c r="O306" s="9"/>
    </row>
    <row r="307" spans="1:15" x14ac:dyDescent="0.25">
      <c r="A307" s="23" t="str">
        <f>IF(ISBLANK(D307),"",COUNTA($D$7:D307))</f>
        <v/>
      </c>
      <c r="B307" s="5"/>
      <c r="C307" s="6"/>
      <c r="D307" s="6"/>
      <c r="E307" s="13"/>
      <c r="F307" s="13"/>
      <c r="G307" s="7">
        <f t="shared" si="8"/>
        <v>0</v>
      </c>
      <c r="H307" s="8"/>
      <c r="I307" s="8"/>
      <c r="J307" s="8"/>
      <c r="K307" s="13"/>
      <c r="L307" s="13"/>
      <c r="M307" s="7">
        <f t="shared" si="9"/>
        <v>0</v>
      </c>
      <c r="N307" s="7"/>
      <c r="O307" s="9"/>
    </row>
    <row r="308" spans="1:15" x14ac:dyDescent="0.25">
      <c r="A308" s="23" t="str">
        <f>IF(ISBLANK(D308),"",COUNTA($D$7:D308))</f>
        <v/>
      </c>
      <c r="B308" s="5"/>
      <c r="C308" s="6"/>
      <c r="D308" s="6"/>
      <c r="E308" s="13"/>
      <c r="F308" s="13"/>
      <c r="G308" s="7">
        <f t="shared" si="8"/>
        <v>0</v>
      </c>
      <c r="H308" s="8"/>
      <c r="I308" s="8"/>
      <c r="J308" s="8"/>
      <c r="K308" s="13"/>
      <c r="L308" s="13"/>
      <c r="M308" s="7">
        <f t="shared" si="9"/>
        <v>0</v>
      </c>
      <c r="N308" s="7"/>
      <c r="O308" s="9"/>
    </row>
    <row r="309" spans="1:15" x14ac:dyDescent="0.25">
      <c r="A309" s="23" t="str">
        <f>IF(ISBLANK(D309),"",COUNTA($D$7:D309))</f>
        <v/>
      </c>
      <c r="B309" s="5"/>
      <c r="C309" s="6"/>
      <c r="D309" s="6"/>
      <c r="E309" s="13"/>
      <c r="F309" s="13"/>
      <c r="G309" s="7">
        <f t="shared" si="8"/>
        <v>0</v>
      </c>
      <c r="H309" s="8"/>
      <c r="I309" s="8"/>
      <c r="J309" s="8"/>
      <c r="K309" s="13"/>
      <c r="L309" s="13"/>
      <c r="M309" s="7">
        <f t="shared" si="9"/>
        <v>0</v>
      </c>
      <c r="N309" s="7"/>
      <c r="O309" s="9"/>
    </row>
    <row r="310" spans="1:15" x14ac:dyDescent="0.25">
      <c r="A310" s="23" t="str">
        <f>IF(ISBLANK(D310),"",COUNTA($D$7:D310))</f>
        <v/>
      </c>
      <c r="B310" s="5"/>
      <c r="C310" s="6"/>
      <c r="D310" s="6"/>
      <c r="E310" s="13"/>
      <c r="F310" s="13"/>
      <c r="G310" s="7">
        <f t="shared" si="8"/>
        <v>0</v>
      </c>
      <c r="H310" s="8"/>
      <c r="I310" s="8"/>
      <c r="J310" s="8"/>
      <c r="K310" s="13"/>
      <c r="L310" s="13"/>
      <c r="M310" s="7">
        <f t="shared" si="9"/>
        <v>0</v>
      </c>
      <c r="N310" s="7"/>
      <c r="O310" s="9"/>
    </row>
    <row r="311" spans="1:15" x14ac:dyDescent="0.25">
      <c r="A311" s="23" t="str">
        <f>IF(ISBLANK(D311),"",COUNTA($D$7:D311))</f>
        <v/>
      </c>
      <c r="B311" s="5"/>
      <c r="C311" s="6"/>
      <c r="D311" s="6"/>
      <c r="E311" s="13"/>
      <c r="F311" s="13"/>
      <c r="G311" s="7">
        <f t="shared" si="8"/>
        <v>0</v>
      </c>
      <c r="H311" s="8"/>
      <c r="I311" s="8"/>
      <c r="J311" s="8"/>
      <c r="K311" s="13"/>
      <c r="L311" s="13"/>
      <c r="M311" s="7">
        <f t="shared" si="9"/>
        <v>0</v>
      </c>
      <c r="N311" s="7"/>
      <c r="O311" s="9"/>
    </row>
    <row r="312" spans="1:15" x14ac:dyDescent="0.25">
      <c r="A312" s="23" t="str">
        <f>IF(ISBLANK(D312),"",COUNTA($D$7:D312))</f>
        <v/>
      </c>
      <c r="B312" s="5"/>
      <c r="C312" s="6"/>
      <c r="D312" s="6"/>
      <c r="E312" s="13"/>
      <c r="F312" s="13"/>
      <c r="G312" s="7">
        <f t="shared" si="8"/>
        <v>0</v>
      </c>
      <c r="H312" s="8"/>
      <c r="I312" s="8"/>
      <c r="J312" s="8"/>
      <c r="K312" s="13"/>
      <c r="L312" s="13"/>
      <c r="M312" s="7">
        <f t="shared" si="9"/>
        <v>0</v>
      </c>
      <c r="N312" s="7"/>
      <c r="O312" s="9"/>
    </row>
    <row r="313" spans="1:15" x14ac:dyDescent="0.25">
      <c r="A313" s="23" t="str">
        <f>IF(ISBLANK(D313),"",COUNTA($D$7:D313))</f>
        <v/>
      </c>
      <c r="B313" s="5"/>
      <c r="C313" s="6"/>
      <c r="D313" s="6"/>
      <c r="E313" s="13"/>
      <c r="F313" s="13"/>
      <c r="G313" s="7">
        <f t="shared" si="8"/>
        <v>0</v>
      </c>
      <c r="H313" s="8"/>
      <c r="I313" s="8"/>
      <c r="J313" s="8"/>
      <c r="K313" s="13"/>
      <c r="L313" s="13"/>
      <c r="M313" s="7">
        <f t="shared" si="9"/>
        <v>0</v>
      </c>
      <c r="N313" s="7"/>
      <c r="O313" s="9"/>
    </row>
    <row r="314" spans="1:15" x14ac:dyDescent="0.25">
      <c r="A314" s="23" t="str">
        <f>IF(ISBLANK(D314),"",COUNTA($D$7:D314))</f>
        <v/>
      </c>
      <c r="B314" s="5"/>
      <c r="C314" s="6"/>
      <c r="D314" s="6"/>
      <c r="E314" s="13"/>
      <c r="F314" s="13"/>
      <c r="G314" s="7">
        <f t="shared" si="8"/>
        <v>0</v>
      </c>
      <c r="H314" s="8"/>
      <c r="I314" s="8"/>
      <c r="J314" s="8"/>
      <c r="K314" s="13"/>
      <c r="L314" s="13"/>
      <c r="M314" s="7">
        <f t="shared" si="9"/>
        <v>0</v>
      </c>
      <c r="N314" s="7"/>
      <c r="O314" s="9"/>
    </row>
    <row r="315" spans="1:15" x14ac:dyDescent="0.25">
      <c r="A315" s="23" t="str">
        <f>IF(ISBLANK(D315),"",COUNTA($D$7:D315))</f>
        <v/>
      </c>
      <c r="B315" s="5"/>
      <c r="C315" s="6"/>
      <c r="D315" s="6"/>
      <c r="E315" s="13"/>
      <c r="F315" s="13"/>
      <c r="G315" s="7">
        <f t="shared" si="8"/>
        <v>0</v>
      </c>
      <c r="H315" s="8"/>
      <c r="I315" s="8"/>
      <c r="J315" s="8"/>
      <c r="K315" s="13"/>
      <c r="L315" s="13"/>
      <c r="M315" s="7">
        <f t="shared" si="9"/>
        <v>0</v>
      </c>
      <c r="N315" s="7"/>
      <c r="O315" s="9"/>
    </row>
    <row r="316" spans="1:15" x14ac:dyDescent="0.25">
      <c r="A316" s="23" t="str">
        <f>IF(ISBLANK(D316),"",COUNTA($D$7:D316))</f>
        <v/>
      </c>
      <c r="B316" s="5"/>
      <c r="C316" s="6"/>
      <c r="D316" s="6"/>
      <c r="E316" s="13"/>
      <c r="F316" s="13"/>
      <c r="G316" s="7">
        <f t="shared" si="8"/>
        <v>0</v>
      </c>
      <c r="H316" s="8"/>
      <c r="I316" s="8"/>
      <c r="J316" s="8"/>
      <c r="K316" s="13"/>
      <c r="L316" s="13"/>
      <c r="M316" s="7">
        <f t="shared" si="9"/>
        <v>0</v>
      </c>
      <c r="N316" s="7"/>
      <c r="O316" s="9"/>
    </row>
    <row r="317" spans="1:15" x14ac:dyDescent="0.25">
      <c r="A317" s="23" t="str">
        <f>IF(ISBLANK(D317),"",COUNTA($D$7:D317))</f>
        <v/>
      </c>
      <c r="B317" s="5"/>
      <c r="C317" s="6"/>
      <c r="D317" s="6"/>
      <c r="E317" s="13"/>
      <c r="F317" s="13"/>
      <c r="G317" s="7">
        <f t="shared" si="8"/>
        <v>0</v>
      </c>
      <c r="H317" s="8"/>
      <c r="I317" s="8"/>
      <c r="J317" s="8"/>
      <c r="K317" s="13"/>
      <c r="L317" s="13"/>
      <c r="M317" s="7">
        <f t="shared" si="9"/>
        <v>0</v>
      </c>
      <c r="N317" s="7"/>
      <c r="O317" s="9"/>
    </row>
    <row r="318" spans="1:15" x14ac:dyDescent="0.25">
      <c r="A318" s="23" t="str">
        <f>IF(ISBLANK(D318),"",COUNTA($D$7:D318))</f>
        <v/>
      </c>
      <c r="B318" s="5"/>
      <c r="C318" s="6"/>
      <c r="D318" s="6"/>
      <c r="E318" s="13"/>
      <c r="F318" s="13"/>
      <c r="G318" s="7">
        <f t="shared" si="8"/>
        <v>0</v>
      </c>
      <c r="H318" s="8"/>
      <c r="I318" s="8"/>
      <c r="J318" s="8"/>
      <c r="K318" s="13"/>
      <c r="L318" s="13"/>
      <c r="M318" s="7">
        <f t="shared" si="9"/>
        <v>0</v>
      </c>
      <c r="N318" s="7"/>
      <c r="O318" s="9"/>
    </row>
    <row r="319" spans="1:15" x14ac:dyDescent="0.25">
      <c r="A319" s="23" t="str">
        <f>IF(ISBLANK(D319),"",COUNTA($D$7:D319))</f>
        <v/>
      </c>
      <c r="B319" s="5"/>
      <c r="C319" s="6"/>
      <c r="D319" s="6"/>
      <c r="E319" s="13"/>
      <c r="F319" s="13"/>
      <c r="G319" s="7">
        <f t="shared" si="8"/>
        <v>0</v>
      </c>
      <c r="H319" s="8"/>
      <c r="I319" s="8"/>
      <c r="J319" s="8"/>
      <c r="K319" s="13"/>
      <c r="L319" s="13"/>
      <c r="M319" s="7">
        <f t="shared" si="9"/>
        <v>0</v>
      </c>
      <c r="N319" s="7"/>
      <c r="O319" s="9"/>
    </row>
    <row r="320" spans="1:15" x14ac:dyDescent="0.25">
      <c r="A320" s="23" t="str">
        <f>IF(ISBLANK(D320),"",COUNTA($D$7:D320))</f>
        <v/>
      </c>
      <c r="B320" s="5"/>
      <c r="C320" s="6"/>
      <c r="D320" s="6"/>
      <c r="E320" s="13"/>
      <c r="F320" s="13"/>
      <c r="G320" s="7">
        <f t="shared" si="8"/>
        <v>0</v>
      </c>
      <c r="H320" s="8"/>
      <c r="I320" s="8"/>
      <c r="J320" s="8"/>
      <c r="K320" s="13"/>
      <c r="L320" s="13"/>
      <c r="M320" s="7">
        <f t="shared" si="9"/>
        <v>0</v>
      </c>
      <c r="N320" s="7"/>
      <c r="O320" s="9"/>
    </row>
    <row r="321" spans="1:15" x14ac:dyDescent="0.25">
      <c r="A321" s="23" t="str">
        <f>IF(ISBLANK(D321),"",COUNTA($D$7:D321))</f>
        <v/>
      </c>
      <c r="B321" s="5"/>
      <c r="C321" s="6"/>
      <c r="D321" s="6"/>
      <c r="E321" s="13"/>
      <c r="F321" s="13"/>
      <c r="G321" s="7">
        <f t="shared" si="8"/>
        <v>0</v>
      </c>
      <c r="H321" s="8"/>
      <c r="I321" s="8"/>
      <c r="J321" s="8"/>
      <c r="K321" s="13"/>
      <c r="L321" s="13"/>
      <c r="M321" s="7">
        <f t="shared" si="9"/>
        <v>0</v>
      </c>
      <c r="N321" s="7"/>
      <c r="O321" s="9"/>
    </row>
    <row r="322" spans="1:15" x14ac:dyDescent="0.25">
      <c r="A322" s="23" t="str">
        <f>IF(ISBLANK(D322),"",COUNTA($D$7:D322))</f>
        <v/>
      </c>
      <c r="B322" s="5"/>
      <c r="C322" s="6"/>
      <c r="D322" s="6"/>
      <c r="E322" s="13"/>
      <c r="F322" s="13"/>
      <c r="G322" s="7">
        <f t="shared" si="8"/>
        <v>0</v>
      </c>
      <c r="H322" s="8"/>
      <c r="I322" s="8"/>
      <c r="J322" s="8"/>
      <c r="K322" s="13"/>
      <c r="L322" s="13"/>
      <c r="M322" s="7">
        <f t="shared" si="9"/>
        <v>0</v>
      </c>
      <c r="N322" s="7"/>
      <c r="O322" s="9"/>
    </row>
    <row r="323" spans="1:15" x14ac:dyDescent="0.25">
      <c r="A323" s="23" t="str">
        <f>IF(ISBLANK(D323),"",COUNTA($D$7:D323))</f>
        <v/>
      </c>
      <c r="B323" s="5"/>
      <c r="C323" s="6"/>
      <c r="D323" s="6"/>
      <c r="E323" s="13"/>
      <c r="F323" s="13"/>
      <c r="G323" s="7">
        <f t="shared" si="8"/>
        <v>0</v>
      </c>
      <c r="H323" s="8"/>
      <c r="I323" s="8"/>
      <c r="J323" s="8"/>
      <c r="K323" s="13"/>
      <c r="L323" s="13"/>
      <c r="M323" s="7">
        <f t="shared" si="9"/>
        <v>0</v>
      </c>
      <c r="N323" s="7"/>
      <c r="O323" s="9"/>
    </row>
    <row r="324" spans="1:15" x14ac:dyDescent="0.25">
      <c r="A324" s="23" t="str">
        <f>IF(ISBLANK(D324),"",COUNTA($D$7:D324))</f>
        <v/>
      </c>
      <c r="B324" s="5"/>
      <c r="C324" s="6"/>
      <c r="D324" s="6"/>
      <c r="E324" s="13"/>
      <c r="F324" s="13"/>
      <c r="G324" s="7">
        <f t="shared" si="8"/>
        <v>0</v>
      </c>
      <c r="H324" s="8"/>
      <c r="I324" s="8"/>
      <c r="J324" s="8"/>
      <c r="K324" s="13"/>
      <c r="L324" s="13"/>
      <c r="M324" s="7">
        <f t="shared" si="9"/>
        <v>0</v>
      </c>
      <c r="N324" s="7"/>
      <c r="O324" s="9"/>
    </row>
    <row r="325" spans="1:15" x14ac:dyDescent="0.25">
      <c r="A325" s="23" t="str">
        <f>IF(ISBLANK(D325),"",COUNTA($D$7:D325))</f>
        <v/>
      </c>
      <c r="B325" s="5"/>
      <c r="C325" s="6"/>
      <c r="D325" s="6"/>
      <c r="E325" s="13"/>
      <c r="F325" s="13"/>
      <c r="G325" s="7">
        <f t="shared" si="8"/>
        <v>0</v>
      </c>
      <c r="H325" s="8"/>
      <c r="I325" s="8"/>
      <c r="J325" s="8"/>
      <c r="K325" s="13"/>
      <c r="L325" s="13"/>
      <c r="M325" s="7">
        <f t="shared" si="9"/>
        <v>0</v>
      </c>
      <c r="N325" s="7"/>
      <c r="O325" s="9"/>
    </row>
    <row r="326" spans="1:15" x14ac:dyDescent="0.25">
      <c r="A326" s="23" t="str">
        <f>IF(ISBLANK(D326),"",COUNTA($D$7:D326))</f>
        <v/>
      </c>
      <c r="B326" s="5"/>
      <c r="C326" s="6"/>
      <c r="D326" s="6"/>
      <c r="E326" s="13"/>
      <c r="F326" s="13"/>
      <c r="G326" s="7">
        <f t="shared" si="8"/>
        <v>0</v>
      </c>
      <c r="H326" s="8"/>
      <c r="I326" s="8"/>
      <c r="J326" s="8"/>
      <c r="K326" s="13"/>
      <c r="L326" s="13"/>
      <c r="M326" s="7">
        <f t="shared" si="9"/>
        <v>0</v>
      </c>
      <c r="N326" s="7"/>
      <c r="O326" s="9"/>
    </row>
    <row r="327" spans="1:15" x14ac:dyDescent="0.25">
      <c r="A327" s="23" t="str">
        <f>IF(ISBLANK(D327),"",COUNTA($D$7:D327))</f>
        <v/>
      </c>
      <c r="B327" s="5"/>
      <c r="C327" s="6"/>
      <c r="D327" s="6"/>
      <c r="E327" s="13"/>
      <c r="F327" s="13"/>
      <c r="G327" s="7">
        <f t="shared" si="8"/>
        <v>0</v>
      </c>
      <c r="H327" s="8"/>
      <c r="I327" s="8"/>
      <c r="J327" s="8"/>
      <c r="K327" s="13"/>
      <c r="L327" s="13"/>
      <c r="M327" s="7">
        <f t="shared" si="9"/>
        <v>0</v>
      </c>
      <c r="N327" s="7"/>
      <c r="O327" s="9"/>
    </row>
    <row r="328" spans="1:15" x14ac:dyDescent="0.25">
      <c r="A328" s="23" t="str">
        <f>IF(ISBLANK(D328),"",COUNTA($D$7:D328))</f>
        <v/>
      </c>
      <c r="B328" s="5"/>
      <c r="C328" s="6"/>
      <c r="D328" s="6"/>
      <c r="E328" s="13"/>
      <c r="F328" s="13"/>
      <c r="G328" s="7">
        <f t="shared" ref="G328:G391" si="10">IF(AND(E328&lt;&gt;"",F328&lt;&gt;""),(VLOOKUP(E328,$AC$2:$AD$7,2,FALSE)*VLOOKUP(F328,$AE$2:$AF$6,2,FALSE)),0)</f>
        <v>0</v>
      </c>
      <c r="H328" s="8"/>
      <c r="I328" s="8"/>
      <c r="J328" s="8"/>
      <c r="K328" s="13"/>
      <c r="L328" s="13"/>
      <c r="M328" s="7">
        <f t="shared" ref="M328:M391" si="11">IF(C328="Opportunity",0.01,IF(AND(K328&lt;&gt;"",L328&lt;&gt;""),(VLOOKUP(K328,$AC$2:$AD$7,2,FALSE))*(VLOOKUP(L328,$AE$2:$AF$6,2,FALSE)),0))</f>
        <v>0</v>
      </c>
      <c r="N328" s="7"/>
      <c r="O328" s="9"/>
    </row>
    <row r="329" spans="1:15" x14ac:dyDescent="0.25">
      <c r="A329" s="23" t="str">
        <f>IF(ISBLANK(D329),"",COUNTA($D$7:D329))</f>
        <v/>
      </c>
      <c r="B329" s="5"/>
      <c r="C329" s="6"/>
      <c r="D329" s="6"/>
      <c r="E329" s="13"/>
      <c r="F329" s="13"/>
      <c r="G329" s="7">
        <f t="shared" si="10"/>
        <v>0</v>
      </c>
      <c r="H329" s="8"/>
      <c r="I329" s="8"/>
      <c r="J329" s="8"/>
      <c r="K329" s="13"/>
      <c r="L329" s="13"/>
      <c r="M329" s="7">
        <f t="shared" si="11"/>
        <v>0</v>
      </c>
      <c r="N329" s="7"/>
      <c r="O329" s="9"/>
    </row>
    <row r="330" spans="1:15" x14ac:dyDescent="0.25">
      <c r="A330" s="23" t="str">
        <f>IF(ISBLANK(D330),"",COUNTA($D$7:D330))</f>
        <v/>
      </c>
      <c r="B330" s="5"/>
      <c r="C330" s="6"/>
      <c r="D330" s="6"/>
      <c r="E330" s="13"/>
      <c r="F330" s="13"/>
      <c r="G330" s="7">
        <f t="shared" si="10"/>
        <v>0</v>
      </c>
      <c r="H330" s="8"/>
      <c r="I330" s="8"/>
      <c r="J330" s="8"/>
      <c r="K330" s="13"/>
      <c r="L330" s="13"/>
      <c r="M330" s="7">
        <f t="shared" si="11"/>
        <v>0</v>
      </c>
      <c r="N330" s="7"/>
      <c r="O330" s="9"/>
    </row>
    <row r="331" spans="1:15" x14ac:dyDescent="0.25">
      <c r="A331" s="23" t="str">
        <f>IF(ISBLANK(D331),"",COUNTA($D$7:D331))</f>
        <v/>
      </c>
      <c r="B331" s="5"/>
      <c r="C331" s="6"/>
      <c r="D331" s="6"/>
      <c r="E331" s="13"/>
      <c r="F331" s="13"/>
      <c r="G331" s="7">
        <f t="shared" si="10"/>
        <v>0</v>
      </c>
      <c r="H331" s="8"/>
      <c r="I331" s="8"/>
      <c r="J331" s="8"/>
      <c r="K331" s="13"/>
      <c r="L331" s="13"/>
      <c r="M331" s="7">
        <f t="shared" si="11"/>
        <v>0</v>
      </c>
      <c r="N331" s="7"/>
      <c r="O331" s="9"/>
    </row>
    <row r="332" spans="1:15" x14ac:dyDescent="0.25">
      <c r="A332" s="23" t="str">
        <f>IF(ISBLANK(D332),"",COUNTA($D$7:D332))</f>
        <v/>
      </c>
      <c r="B332" s="5"/>
      <c r="C332" s="6"/>
      <c r="D332" s="6"/>
      <c r="E332" s="13"/>
      <c r="F332" s="13"/>
      <c r="G332" s="7">
        <f t="shared" si="10"/>
        <v>0</v>
      </c>
      <c r="H332" s="8"/>
      <c r="I332" s="8"/>
      <c r="J332" s="8"/>
      <c r="K332" s="13"/>
      <c r="L332" s="13"/>
      <c r="M332" s="7">
        <f t="shared" si="11"/>
        <v>0</v>
      </c>
      <c r="N332" s="7"/>
      <c r="O332" s="9"/>
    </row>
    <row r="333" spans="1:15" x14ac:dyDescent="0.25">
      <c r="A333" s="23" t="str">
        <f>IF(ISBLANK(D333),"",COUNTA($D$7:D333))</f>
        <v/>
      </c>
      <c r="B333" s="5"/>
      <c r="C333" s="6"/>
      <c r="D333" s="6"/>
      <c r="E333" s="13"/>
      <c r="F333" s="13"/>
      <c r="G333" s="7">
        <f t="shared" si="10"/>
        <v>0</v>
      </c>
      <c r="H333" s="8"/>
      <c r="I333" s="8"/>
      <c r="J333" s="8"/>
      <c r="K333" s="13"/>
      <c r="L333" s="13"/>
      <c r="M333" s="7">
        <f t="shared" si="11"/>
        <v>0</v>
      </c>
      <c r="N333" s="7"/>
      <c r="O333" s="9"/>
    </row>
    <row r="334" spans="1:15" x14ac:dyDescent="0.25">
      <c r="A334" s="23" t="str">
        <f>IF(ISBLANK(D334),"",COUNTA($D$7:D334))</f>
        <v/>
      </c>
      <c r="B334" s="5"/>
      <c r="C334" s="6"/>
      <c r="D334" s="6"/>
      <c r="E334" s="13"/>
      <c r="F334" s="13"/>
      <c r="G334" s="7">
        <f t="shared" si="10"/>
        <v>0</v>
      </c>
      <c r="H334" s="8"/>
      <c r="I334" s="8"/>
      <c r="J334" s="8"/>
      <c r="K334" s="13"/>
      <c r="L334" s="13"/>
      <c r="M334" s="7">
        <f t="shared" si="11"/>
        <v>0</v>
      </c>
      <c r="N334" s="7"/>
      <c r="O334" s="9"/>
    </row>
    <row r="335" spans="1:15" x14ac:dyDescent="0.25">
      <c r="A335" s="23" t="str">
        <f>IF(ISBLANK(D335),"",COUNTA($D$7:D335))</f>
        <v/>
      </c>
      <c r="B335" s="5"/>
      <c r="C335" s="6"/>
      <c r="D335" s="6"/>
      <c r="E335" s="13"/>
      <c r="F335" s="13"/>
      <c r="G335" s="7">
        <f t="shared" si="10"/>
        <v>0</v>
      </c>
      <c r="H335" s="8"/>
      <c r="I335" s="8"/>
      <c r="J335" s="8"/>
      <c r="K335" s="13"/>
      <c r="L335" s="13"/>
      <c r="M335" s="7">
        <f t="shared" si="11"/>
        <v>0</v>
      </c>
      <c r="N335" s="7"/>
      <c r="O335" s="9"/>
    </row>
    <row r="336" spans="1:15" x14ac:dyDescent="0.25">
      <c r="A336" s="23" t="str">
        <f>IF(ISBLANK(D336),"",COUNTA($D$7:D336))</f>
        <v/>
      </c>
      <c r="B336" s="5"/>
      <c r="C336" s="6"/>
      <c r="D336" s="6"/>
      <c r="E336" s="13"/>
      <c r="F336" s="13"/>
      <c r="G336" s="7">
        <f t="shared" si="10"/>
        <v>0</v>
      </c>
      <c r="H336" s="8"/>
      <c r="I336" s="8"/>
      <c r="J336" s="8"/>
      <c r="K336" s="13"/>
      <c r="L336" s="13"/>
      <c r="M336" s="7">
        <f t="shared" si="11"/>
        <v>0</v>
      </c>
      <c r="N336" s="7"/>
      <c r="O336" s="9"/>
    </row>
    <row r="337" spans="1:15" x14ac:dyDescent="0.25">
      <c r="A337" s="23" t="str">
        <f>IF(ISBLANK(D337),"",COUNTA($D$7:D337))</f>
        <v/>
      </c>
      <c r="B337" s="5"/>
      <c r="C337" s="6"/>
      <c r="D337" s="6"/>
      <c r="E337" s="13"/>
      <c r="F337" s="13"/>
      <c r="G337" s="7">
        <f t="shared" si="10"/>
        <v>0</v>
      </c>
      <c r="H337" s="8"/>
      <c r="I337" s="8"/>
      <c r="J337" s="8"/>
      <c r="K337" s="13"/>
      <c r="L337" s="13"/>
      <c r="M337" s="7">
        <f t="shared" si="11"/>
        <v>0</v>
      </c>
      <c r="N337" s="7"/>
      <c r="O337" s="9"/>
    </row>
    <row r="338" spans="1:15" x14ac:dyDescent="0.25">
      <c r="A338" s="23" t="str">
        <f>IF(ISBLANK(D338),"",COUNTA($D$7:D338))</f>
        <v/>
      </c>
      <c r="B338" s="5"/>
      <c r="C338" s="6"/>
      <c r="D338" s="6"/>
      <c r="E338" s="13"/>
      <c r="F338" s="13"/>
      <c r="G338" s="7">
        <f t="shared" si="10"/>
        <v>0</v>
      </c>
      <c r="H338" s="8"/>
      <c r="I338" s="8"/>
      <c r="J338" s="8"/>
      <c r="K338" s="13"/>
      <c r="L338" s="13"/>
      <c r="M338" s="7">
        <f t="shared" si="11"/>
        <v>0</v>
      </c>
      <c r="N338" s="7"/>
      <c r="O338" s="9"/>
    </row>
    <row r="339" spans="1:15" x14ac:dyDescent="0.25">
      <c r="A339" s="23" t="str">
        <f>IF(ISBLANK(D339),"",COUNTA($D$7:D339))</f>
        <v/>
      </c>
      <c r="B339" s="5"/>
      <c r="C339" s="6"/>
      <c r="D339" s="6"/>
      <c r="E339" s="13"/>
      <c r="F339" s="13"/>
      <c r="G339" s="7">
        <f t="shared" si="10"/>
        <v>0</v>
      </c>
      <c r="H339" s="8"/>
      <c r="I339" s="8"/>
      <c r="J339" s="8"/>
      <c r="K339" s="13"/>
      <c r="L339" s="13"/>
      <c r="M339" s="7">
        <f t="shared" si="11"/>
        <v>0</v>
      </c>
      <c r="N339" s="7"/>
      <c r="O339" s="9"/>
    </row>
    <row r="340" spans="1:15" x14ac:dyDescent="0.25">
      <c r="A340" s="23" t="str">
        <f>IF(ISBLANK(D340),"",COUNTA($D$7:D340))</f>
        <v/>
      </c>
      <c r="B340" s="5"/>
      <c r="C340" s="6"/>
      <c r="D340" s="6"/>
      <c r="E340" s="13"/>
      <c r="F340" s="13"/>
      <c r="G340" s="7">
        <f t="shared" si="10"/>
        <v>0</v>
      </c>
      <c r="H340" s="8"/>
      <c r="I340" s="8"/>
      <c r="J340" s="8"/>
      <c r="K340" s="13"/>
      <c r="L340" s="13"/>
      <c r="M340" s="7">
        <f t="shared" si="11"/>
        <v>0</v>
      </c>
      <c r="N340" s="7"/>
      <c r="O340" s="9"/>
    </row>
    <row r="341" spans="1:15" x14ac:dyDescent="0.25">
      <c r="A341" s="23" t="str">
        <f>IF(ISBLANK(D341),"",COUNTA($D$7:D341))</f>
        <v/>
      </c>
      <c r="B341" s="5"/>
      <c r="C341" s="6"/>
      <c r="D341" s="6"/>
      <c r="E341" s="13"/>
      <c r="F341" s="13"/>
      <c r="G341" s="7">
        <f t="shared" si="10"/>
        <v>0</v>
      </c>
      <c r="H341" s="8"/>
      <c r="I341" s="8"/>
      <c r="J341" s="8"/>
      <c r="K341" s="13"/>
      <c r="L341" s="13"/>
      <c r="M341" s="7">
        <f t="shared" si="11"/>
        <v>0</v>
      </c>
      <c r="N341" s="7"/>
      <c r="O341" s="9"/>
    </row>
    <row r="342" spans="1:15" x14ac:dyDescent="0.25">
      <c r="A342" s="23" t="str">
        <f>IF(ISBLANK(D342),"",COUNTA($D$7:D342))</f>
        <v/>
      </c>
      <c r="B342" s="5"/>
      <c r="C342" s="6"/>
      <c r="D342" s="6"/>
      <c r="E342" s="13"/>
      <c r="F342" s="13"/>
      <c r="G342" s="7">
        <f t="shared" si="10"/>
        <v>0</v>
      </c>
      <c r="H342" s="8"/>
      <c r="I342" s="8"/>
      <c r="J342" s="8"/>
      <c r="K342" s="13"/>
      <c r="L342" s="13"/>
      <c r="M342" s="7">
        <f t="shared" si="11"/>
        <v>0</v>
      </c>
      <c r="N342" s="7"/>
      <c r="O342" s="9"/>
    </row>
    <row r="343" spans="1:15" x14ac:dyDescent="0.25">
      <c r="A343" s="23" t="str">
        <f>IF(ISBLANK(D343),"",COUNTA($D$7:D343))</f>
        <v/>
      </c>
      <c r="B343" s="5"/>
      <c r="C343" s="6"/>
      <c r="D343" s="6"/>
      <c r="E343" s="13"/>
      <c r="F343" s="13"/>
      <c r="G343" s="7">
        <f t="shared" si="10"/>
        <v>0</v>
      </c>
      <c r="H343" s="8"/>
      <c r="I343" s="8"/>
      <c r="J343" s="8"/>
      <c r="K343" s="13"/>
      <c r="L343" s="13"/>
      <c r="M343" s="7">
        <f t="shared" si="11"/>
        <v>0</v>
      </c>
      <c r="N343" s="7"/>
      <c r="O343" s="9"/>
    </row>
    <row r="344" spans="1:15" x14ac:dyDescent="0.25">
      <c r="A344" s="23" t="str">
        <f>IF(ISBLANK(D344),"",COUNTA($D$7:D344))</f>
        <v/>
      </c>
      <c r="B344" s="5"/>
      <c r="C344" s="6"/>
      <c r="D344" s="6"/>
      <c r="E344" s="13"/>
      <c r="F344" s="13"/>
      <c r="G344" s="7">
        <f t="shared" si="10"/>
        <v>0</v>
      </c>
      <c r="H344" s="8"/>
      <c r="I344" s="8"/>
      <c r="J344" s="8"/>
      <c r="K344" s="13"/>
      <c r="L344" s="13"/>
      <c r="M344" s="7">
        <f t="shared" si="11"/>
        <v>0</v>
      </c>
      <c r="N344" s="7"/>
      <c r="O344" s="9"/>
    </row>
    <row r="345" spans="1:15" x14ac:dyDescent="0.25">
      <c r="A345" s="23" t="str">
        <f>IF(ISBLANK(D345),"",COUNTA($D$7:D345))</f>
        <v/>
      </c>
      <c r="B345" s="5"/>
      <c r="C345" s="6"/>
      <c r="D345" s="6"/>
      <c r="E345" s="13"/>
      <c r="F345" s="13"/>
      <c r="G345" s="7">
        <f t="shared" si="10"/>
        <v>0</v>
      </c>
      <c r="H345" s="8"/>
      <c r="I345" s="8"/>
      <c r="J345" s="8"/>
      <c r="K345" s="13"/>
      <c r="L345" s="13"/>
      <c r="M345" s="7">
        <f t="shared" si="11"/>
        <v>0</v>
      </c>
      <c r="N345" s="7"/>
      <c r="O345" s="9"/>
    </row>
    <row r="346" spans="1:15" x14ac:dyDescent="0.25">
      <c r="A346" s="23" t="str">
        <f>IF(ISBLANK(D346),"",COUNTA($D$7:D346))</f>
        <v/>
      </c>
      <c r="B346" s="5"/>
      <c r="C346" s="6"/>
      <c r="D346" s="6"/>
      <c r="E346" s="13"/>
      <c r="F346" s="13"/>
      <c r="G346" s="7">
        <f t="shared" si="10"/>
        <v>0</v>
      </c>
      <c r="H346" s="8"/>
      <c r="I346" s="8"/>
      <c r="J346" s="8"/>
      <c r="K346" s="13"/>
      <c r="L346" s="13"/>
      <c r="M346" s="7">
        <f t="shared" si="11"/>
        <v>0</v>
      </c>
      <c r="N346" s="7"/>
      <c r="O346" s="9"/>
    </row>
    <row r="347" spans="1:15" x14ac:dyDescent="0.25">
      <c r="A347" s="23" t="str">
        <f>IF(ISBLANK(D347),"",COUNTA($D$7:D347))</f>
        <v/>
      </c>
      <c r="B347" s="5"/>
      <c r="C347" s="6"/>
      <c r="D347" s="6"/>
      <c r="E347" s="13"/>
      <c r="F347" s="13"/>
      <c r="G347" s="7">
        <f t="shared" si="10"/>
        <v>0</v>
      </c>
      <c r="H347" s="8"/>
      <c r="I347" s="8"/>
      <c r="J347" s="8"/>
      <c r="K347" s="13"/>
      <c r="L347" s="13"/>
      <c r="M347" s="7">
        <f t="shared" si="11"/>
        <v>0</v>
      </c>
      <c r="N347" s="7"/>
      <c r="O347" s="9"/>
    </row>
    <row r="348" spans="1:15" x14ac:dyDescent="0.25">
      <c r="A348" s="23" t="str">
        <f>IF(ISBLANK(D348),"",COUNTA($D$7:D348))</f>
        <v/>
      </c>
      <c r="B348" s="5"/>
      <c r="C348" s="6"/>
      <c r="D348" s="6"/>
      <c r="E348" s="13"/>
      <c r="F348" s="13"/>
      <c r="G348" s="7">
        <f t="shared" si="10"/>
        <v>0</v>
      </c>
      <c r="H348" s="8"/>
      <c r="I348" s="8"/>
      <c r="J348" s="8"/>
      <c r="K348" s="13"/>
      <c r="L348" s="13"/>
      <c r="M348" s="7">
        <f t="shared" si="11"/>
        <v>0</v>
      </c>
      <c r="N348" s="7"/>
      <c r="O348" s="9"/>
    </row>
    <row r="349" spans="1:15" x14ac:dyDescent="0.25">
      <c r="A349" s="23" t="str">
        <f>IF(ISBLANK(D349),"",COUNTA($D$7:D349))</f>
        <v/>
      </c>
      <c r="B349" s="5"/>
      <c r="C349" s="6"/>
      <c r="D349" s="6"/>
      <c r="E349" s="13"/>
      <c r="F349" s="13"/>
      <c r="G349" s="7">
        <f t="shared" si="10"/>
        <v>0</v>
      </c>
      <c r="H349" s="8"/>
      <c r="I349" s="8"/>
      <c r="J349" s="8"/>
      <c r="K349" s="13"/>
      <c r="L349" s="13"/>
      <c r="M349" s="7">
        <f t="shared" si="11"/>
        <v>0</v>
      </c>
      <c r="N349" s="7"/>
      <c r="O349" s="9"/>
    </row>
    <row r="350" spans="1:15" x14ac:dyDescent="0.25">
      <c r="A350" s="23" t="str">
        <f>IF(ISBLANK(D350),"",COUNTA($D$7:D350))</f>
        <v/>
      </c>
      <c r="B350" s="5"/>
      <c r="C350" s="6"/>
      <c r="D350" s="6"/>
      <c r="E350" s="13"/>
      <c r="F350" s="13"/>
      <c r="G350" s="7">
        <f t="shared" si="10"/>
        <v>0</v>
      </c>
      <c r="H350" s="8"/>
      <c r="I350" s="8"/>
      <c r="J350" s="8"/>
      <c r="K350" s="13"/>
      <c r="L350" s="13"/>
      <c r="M350" s="7">
        <f t="shared" si="11"/>
        <v>0</v>
      </c>
      <c r="N350" s="7"/>
      <c r="O350" s="9"/>
    </row>
    <row r="351" spans="1:15" x14ac:dyDescent="0.25">
      <c r="A351" s="23" t="str">
        <f>IF(ISBLANK(D351),"",COUNTA($D$7:D351))</f>
        <v/>
      </c>
      <c r="B351" s="5"/>
      <c r="C351" s="6"/>
      <c r="D351" s="6"/>
      <c r="E351" s="13"/>
      <c r="F351" s="13"/>
      <c r="G351" s="7">
        <f t="shared" si="10"/>
        <v>0</v>
      </c>
      <c r="H351" s="8"/>
      <c r="I351" s="8"/>
      <c r="J351" s="8"/>
      <c r="K351" s="13"/>
      <c r="L351" s="13"/>
      <c r="M351" s="7">
        <f t="shared" si="11"/>
        <v>0</v>
      </c>
      <c r="N351" s="7"/>
      <c r="O351" s="9"/>
    </row>
    <row r="352" spans="1:15" x14ac:dyDescent="0.25">
      <c r="A352" s="23" t="str">
        <f>IF(ISBLANK(D352),"",COUNTA($D$7:D352))</f>
        <v/>
      </c>
      <c r="B352" s="5"/>
      <c r="C352" s="6"/>
      <c r="D352" s="6"/>
      <c r="E352" s="13"/>
      <c r="F352" s="13"/>
      <c r="G352" s="7">
        <f t="shared" si="10"/>
        <v>0</v>
      </c>
      <c r="H352" s="8"/>
      <c r="I352" s="8"/>
      <c r="J352" s="8"/>
      <c r="K352" s="13"/>
      <c r="L352" s="13"/>
      <c r="M352" s="7">
        <f t="shared" si="11"/>
        <v>0</v>
      </c>
      <c r="N352" s="7"/>
      <c r="O352" s="9"/>
    </row>
    <row r="353" spans="1:15" x14ac:dyDescent="0.25">
      <c r="A353" s="23" t="str">
        <f>IF(ISBLANK(D353),"",COUNTA($D$7:D353))</f>
        <v/>
      </c>
      <c r="B353" s="5"/>
      <c r="C353" s="6"/>
      <c r="D353" s="6"/>
      <c r="E353" s="13"/>
      <c r="F353" s="13"/>
      <c r="G353" s="7">
        <f t="shared" si="10"/>
        <v>0</v>
      </c>
      <c r="H353" s="8"/>
      <c r="I353" s="8"/>
      <c r="J353" s="8"/>
      <c r="K353" s="13"/>
      <c r="L353" s="13"/>
      <c r="M353" s="7">
        <f t="shared" si="11"/>
        <v>0</v>
      </c>
      <c r="N353" s="7"/>
      <c r="O353" s="9"/>
    </row>
    <row r="354" spans="1:15" x14ac:dyDescent="0.25">
      <c r="A354" s="23" t="str">
        <f>IF(ISBLANK(D354),"",COUNTA($D$7:D354))</f>
        <v/>
      </c>
      <c r="B354" s="5"/>
      <c r="C354" s="6"/>
      <c r="D354" s="6"/>
      <c r="E354" s="13"/>
      <c r="F354" s="13"/>
      <c r="G354" s="7">
        <f t="shared" si="10"/>
        <v>0</v>
      </c>
      <c r="H354" s="8"/>
      <c r="I354" s="8"/>
      <c r="J354" s="8"/>
      <c r="K354" s="13"/>
      <c r="L354" s="13"/>
      <c r="M354" s="7">
        <f t="shared" si="11"/>
        <v>0</v>
      </c>
      <c r="N354" s="7"/>
      <c r="O354" s="9"/>
    </row>
    <row r="355" spans="1:15" x14ac:dyDescent="0.25">
      <c r="A355" s="23" t="str">
        <f>IF(ISBLANK(D355),"",COUNTA($D$7:D355))</f>
        <v/>
      </c>
      <c r="B355" s="5"/>
      <c r="C355" s="6"/>
      <c r="D355" s="6"/>
      <c r="E355" s="13"/>
      <c r="F355" s="13"/>
      <c r="G355" s="7">
        <f t="shared" si="10"/>
        <v>0</v>
      </c>
      <c r="H355" s="8"/>
      <c r="I355" s="8"/>
      <c r="J355" s="8"/>
      <c r="K355" s="13"/>
      <c r="L355" s="13"/>
      <c r="M355" s="7">
        <f t="shared" si="11"/>
        <v>0</v>
      </c>
      <c r="N355" s="7"/>
      <c r="O355" s="9"/>
    </row>
    <row r="356" spans="1:15" x14ac:dyDescent="0.25">
      <c r="A356" s="23" t="str">
        <f>IF(ISBLANK(D356),"",COUNTA($D$7:D356))</f>
        <v/>
      </c>
      <c r="B356" s="5"/>
      <c r="C356" s="6"/>
      <c r="D356" s="6"/>
      <c r="E356" s="13"/>
      <c r="F356" s="13"/>
      <c r="G356" s="7">
        <f t="shared" si="10"/>
        <v>0</v>
      </c>
      <c r="H356" s="8"/>
      <c r="I356" s="8"/>
      <c r="J356" s="8"/>
      <c r="K356" s="13"/>
      <c r="L356" s="13"/>
      <c r="M356" s="7">
        <f t="shared" si="11"/>
        <v>0</v>
      </c>
      <c r="N356" s="7"/>
      <c r="O356" s="9"/>
    </row>
    <row r="357" spans="1:15" x14ac:dyDescent="0.25">
      <c r="A357" s="23" t="str">
        <f>IF(ISBLANK(D357),"",COUNTA($D$7:D357))</f>
        <v/>
      </c>
      <c r="B357" s="5"/>
      <c r="C357" s="6"/>
      <c r="D357" s="6"/>
      <c r="E357" s="13"/>
      <c r="F357" s="13"/>
      <c r="G357" s="7">
        <f t="shared" si="10"/>
        <v>0</v>
      </c>
      <c r="H357" s="8"/>
      <c r="I357" s="8"/>
      <c r="J357" s="8"/>
      <c r="K357" s="13"/>
      <c r="L357" s="13"/>
      <c r="M357" s="7">
        <f t="shared" si="11"/>
        <v>0</v>
      </c>
      <c r="N357" s="7"/>
      <c r="O357" s="9"/>
    </row>
    <row r="358" spans="1:15" x14ac:dyDescent="0.25">
      <c r="A358" s="23" t="str">
        <f>IF(ISBLANK(D358),"",COUNTA($D$7:D358))</f>
        <v/>
      </c>
      <c r="B358" s="5"/>
      <c r="C358" s="6"/>
      <c r="D358" s="6"/>
      <c r="E358" s="13"/>
      <c r="F358" s="13"/>
      <c r="G358" s="7">
        <f t="shared" si="10"/>
        <v>0</v>
      </c>
      <c r="H358" s="8"/>
      <c r="I358" s="8"/>
      <c r="J358" s="8"/>
      <c r="K358" s="13"/>
      <c r="L358" s="13"/>
      <c r="M358" s="7">
        <f t="shared" si="11"/>
        <v>0</v>
      </c>
      <c r="N358" s="7"/>
      <c r="O358" s="9"/>
    </row>
    <row r="359" spans="1:15" x14ac:dyDescent="0.25">
      <c r="A359" s="23" t="str">
        <f>IF(ISBLANK(D359),"",COUNTA($D$7:D359))</f>
        <v/>
      </c>
      <c r="B359" s="5"/>
      <c r="C359" s="6"/>
      <c r="D359" s="6"/>
      <c r="E359" s="13"/>
      <c r="F359" s="13"/>
      <c r="G359" s="7">
        <f t="shared" si="10"/>
        <v>0</v>
      </c>
      <c r="H359" s="8"/>
      <c r="I359" s="8"/>
      <c r="J359" s="8"/>
      <c r="K359" s="13"/>
      <c r="L359" s="13"/>
      <c r="M359" s="7">
        <f t="shared" si="11"/>
        <v>0</v>
      </c>
      <c r="N359" s="7"/>
      <c r="O359" s="9"/>
    </row>
    <row r="360" spans="1:15" x14ac:dyDescent="0.25">
      <c r="A360" s="23" t="str">
        <f>IF(ISBLANK(D360),"",COUNTA($D$7:D360))</f>
        <v/>
      </c>
      <c r="B360" s="5"/>
      <c r="C360" s="6"/>
      <c r="D360" s="6"/>
      <c r="E360" s="13"/>
      <c r="F360" s="13"/>
      <c r="G360" s="7">
        <f t="shared" si="10"/>
        <v>0</v>
      </c>
      <c r="H360" s="8"/>
      <c r="I360" s="8"/>
      <c r="J360" s="8"/>
      <c r="K360" s="13"/>
      <c r="L360" s="13"/>
      <c r="M360" s="7">
        <f t="shared" si="11"/>
        <v>0</v>
      </c>
      <c r="N360" s="7"/>
      <c r="O360" s="9"/>
    </row>
    <row r="361" spans="1:15" x14ac:dyDescent="0.25">
      <c r="A361" s="23" t="str">
        <f>IF(ISBLANK(D361),"",COUNTA($D$7:D361))</f>
        <v/>
      </c>
      <c r="B361" s="5"/>
      <c r="C361" s="6"/>
      <c r="D361" s="6"/>
      <c r="E361" s="13"/>
      <c r="F361" s="13"/>
      <c r="G361" s="7">
        <f t="shared" si="10"/>
        <v>0</v>
      </c>
      <c r="H361" s="8"/>
      <c r="I361" s="8"/>
      <c r="J361" s="8"/>
      <c r="K361" s="13"/>
      <c r="L361" s="13"/>
      <c r="M361" s="7">
        <f t="shared" si="11"/>
        <v>0</v>
      </c>
      <c r="N361" s="7"/>
      <c r="O361" s="9"/>
    </row>
    <row r="362" spans="1:15" x14ac:dyDescent="0.25">
      <c r="A362" s="23" t="str">
        <f>IF(ISBLANK(D362),"",COUNTA($D$7:D362))</f>
        <v/>
      </c>
      <c r="B362" s="5"/>
      <c r="C362" s="6"/>
      <c r="D362" s="6"/>
      <c r="E362" s="13"/>
      <c r="F362" s="13"/>
      <c r="G362" s="7">
        <f t="shared" si="10"/>
        <v>0</v>
      </c>
      <c r="H362" s="8"/>
      <c r="I362" s="8"/>
      <c r="J362" s="8"/>
      <c r="K362" s="13"/>
      <c r="L362" s="13"/>
      <c r="M362" s="7">
        <f t="shared" si="11"/>
        <v>0</v>
      </c>
      <c r="N362" s="7"/>
      <c r="O362" s="9"/>
    </row>
    <row r="363" spans="1:15" x14ac:dyDescent="0.25">
      <c r="A363" s="23" t="str">
        <f>IF(ISBLANK(D363),"",COUNTA($D$7:D363))</f>
        <v/>
      </c>
      <c r="B363" s="5"/>
      <c r="C363" s="6"/>
      <c r="D363" s="6"/>
      <c r="E363" s="13"/>
      <c r="F363" s="13"/>
      <c r="G363" s="7">
        <f t="shared" si="10"/>
        <v>0</v>
      </c>
      <c r="H363" s="8"/>
      <c r="I363" s="8"/>
      <c r="J363" s="8"/>
      <c r="K363" s="13"/>
      <c r="L363" s="13"/>
      <c r="M363" s="7">
        <f t="shared" si="11"/>
        <v>0</v>
      </c>
      <c r="N363" s="7"/>
      <c r="O363" s="9"/>
    </row>
    <row r="364" spans="1:15" x14ac:dyDescent="0.25">
      <c r="A364" s="23" t="str">
        <f>IF(ISBLANK(D364),"",COUNTA($D$7:D364))</f>
        <v/>
      </c>
      <c r="B364" s="5"/>
      <c r="C364" s="6"/>
      <c r="D364" s="6"/>
      <c r="E364" s="13"/>
      <c r="F364" s="13"/>
      <c r="G364" s="7">
        <f t="shared" si="10"/>
        <v>0</v>
      </c>
      <c r="H364" s="8"/>
      <c r="I364" s="8"/>
      <c r="J364" s="8"/>
      <c r="K364" s="13"/>
      <c r="L364" s="13"/>
      <c r="M364" s="7">
        <f t="shared" si="11"/>
        <v>0</v>
      </c>
      <c r="N364" s="7"/>
      <c r="O364" s="9"/>
    </row>
    <row r="365" spans="1:15" x14ac:dyDescent="0.25">
      <c r="A365" s="23" t="str">
        <f>IF(ISBLANK(D365),"",COUNTA($D$7:D365))</f>
        <v/>
      </c>
      <c r="B365" s="5"/>
      <c r="C365" s="6"/>
      <c r="D365" s="6"/>
      <c r="E365" s="13"/>
      <c r="F365" s="13"/>
      <c r="G365" s="7">
        <f t="shared" si="10"/>
        <v>0</v>
      </c>
      <c r="H365" s="8"/>
      <c r="I365" s="8"/>
      <c r="J365" s="8"/>
      <c r="K365" s="13"/>
      <c r="L365" s="13"/>
      <c r="M365" s="7">
        <f t="shared" si="11"/>
        <v>0</v>
      </c>
      <c r="N365" s="7"/>
      <c r="O365" s="9"/>
    </row>
    <row r="366" spans="1:15" x14ac:dyDescent="0.25">
      <c r="A366" s="23" t="str">
        <f>IF(ISBLANK(D366),"",COUNTA($D$7:D366))</f>
        <v/>
      </c>
      <c r="B366" s="5"/>
      <c r="C366" s="6"/>
      <c r="D366" s="6"/>
      <c r="E366" s="13"/>
      <c r="F366" s="13"/>
      <c r="G366" s="7">
        <f t="shared" si="10"/>
        <v>0</v>
      </c>
      <c r="H366" s="8"/>
      <c r="I366" s="8"/>
      <c r="J366" s="8"/>
      <c r="K366" s="13"/>
      <c r="L366" s="13"/>
      <c r="M366" s="7">
        <f t="shared" si="11"/>
        <v>0</v>
      </c>
      <c r="N366" s="7"/>
      <c r="O366" s="9"/>
    </row>
    <row r="367" spans="1:15" x14ac:dyDescent="0.25">
      <c r="A367" s="23" t="str">
        <f>IF(ISBLANK(D367),"",COUNTA($D$7:D367))</f>
        <v/>
      </c>
      <c r="B367" s="5"/>
      <c r="C367" s="6"/>
      <c r="D367" s="6"/>
      <c r="E367" s="13"/>
      <c r="F367" s="13"/>
      <c r="G367" s="7">
        <f t="shared" si="10"/>
        <v>0</v>
      </c>
      <c r="H367" s="8"/>
      <c r="I367" s="8"/>
      <c r="J367" s="8"/>
      <c r="K367" s="13"/>
      <c r="L367" s="13"/>
      <c r="M367" s="7">
        <f t="shared" si="11"/>
        <v>0</v>
      </c>
      <c r="N367" s="7"/>
      <c r="O367" s="9"/>
    </row>
    <row r="368" spans="1:15" x14ac:dyDescent="0.25">
      <c r="A368" s="23" t="str">
        <f>IF(ISBLANK(D368),"",COUNTA($D$7:D368))</f>
        <v/>
      </c>
      <c r="B368" s="5"/>
      <c r="C368" s="6"/>
      <c r="D368" s="6"/>
      <c r="E368" s="13"/>
      <c r="F368" s="13"/>
      <c r="G368" s="7">
        <f t="shared" si="10"/>
        <v>0</v>
      </c>
      <c r="H368" s="8"/>
      <c r="I368" s="8"/>
      <c r="J368" s="8"/>
      <c r="K368" s="13"/>
      <c r="L368" s="13"/>
      <c r="M368" s="7">
        <f t="shared" si="11"/>
        <v>0</v>
      </c>
      <c r="N368" s="7"/>
      <c r="O368" s="9"/>
    </row>
    <row r="369" spans="1:15" x14ac:dyDescent="0.25">
      <c r="A369" s="23" t="str">
        <f>IF(ISBLANK(D369),"",COUNTA($D$7:D369))</f>
        <v/>
      </c>
      <c r="B369" s="5"/>
      <c r="C369" s="6"/>
      <c r="D369" s="6"/>
      <c r="E369" s="13"/>
      <c r="F369" s="13"/>
      <c r="G369" s="7">
        <f t="shared" si="10"/>
        <v>0</v>
      </c>
      <c r="H369" s="8"/>
      <c r="I369" s="8"/>
      <c r="J369" s="8"/>
      <c r="K369" s="13"/>
      <c r="L369" s="13"/>
      <c r="M369" s="7">
        <f t="shared" si="11"/>
        <v>0</v>
      </c>
      <c r="N369" s="7"/>
      <c r="O369" s="9"/>
    </row>
    <row r="370" spans="1:15" x14ac:dyDescent="0.25">
      <c r="A370" s="23" t="str">
        <f>IF(ISBLANK(D370),"",COUNTA($D$7:D370))</f>
        <v/>
      </c>
      <c r="B370" s="5"/>
      <c r="C370" s="6"/>
      <c r="D370" s="6"/>
      <c r="E370" s="13"/>
      <c r="F370" s="13"/>
      <c r="G370" s="7">
        <f t="shared" si="10"/>
        <v>0</v>
      </c>
      <c r="H370" s="8"/>
      <c r="I370" s="8"/>
      <c r="J370" s="8"/>
      <c r="K370" s="13"/>
      <c r="L370" s="13"/>
      <c r="M370" s="7">
        <f t="shared" si="11"/>
        <v>0</v>
      </c>
      <c r="N370" s="7"/>
      <c r="O370" s="9"/>
    </row>
    <row r="371" spans="1:15" x14ac:dyDescent="0.25">
      <c r="A371" s="23" t="str">
        <f>IF(ISBLANK(D371),"",COUNTA($D$7:D371))</f>
        <v/>
      </c>
      <c r="B371" s="5"/>
      <c r="C371" s="6"/>
      <c r="D371" s="6"/>
      <c r="E371" s="13"/>
      <c r="F371" s="13"/>
      <c r="G371" s="7">
        <f t="shared" si="10"/>
        <v>0</v>
      </c>
      <c r="H371" s="8"/>
      <c r="I371" s="8"/>
      <c r="J371" s="8"/>
      <c r="K371" s="13"/>
      <c r="L371" s="13"/>
      <c r="M371" s="7">
        <f t="shared" si="11"/>
        <v>0</v>
      </c>
      <c r="N371" s="7"/>
      <c r="O371" s="9"/>
    </row>
    <row r="372" spans="1:15" x14ac:dyDescent="0.25">
      <c r="A372" s="23" t="str">
        <f>IF(ISBLANK(D372),"",COUNTA($D$7:D372))</f>
        <v/>
      </c>
      <c r="B372" s="5"/>
      <c r="C372" s="6"/>
      <c r="D372" s="6"/>
      <c r="E372" s="13"/>
      <c r="F372" s="13"/>
      <c r="G372" s="7">
        <f t="shared" si="10"/>
        <v>0</v>
      </c>
      <c r="H372" s="8"/>
      <c r="I372" s="8"/>
      <c r="J372" s="8"/>
      <c r="K372" s="13"/>
      <c r="L372" s="13"/>
      <c r="M372" s="7">
        <f t="shared" si="11"/>
        <v>0</v>
      </c>
      <c r="N372" s="7"/>
      <c r="O372" s="9"/>
    </row>
    <row r="373" spans="1:15" x14ac:dyDescent="0.25">
      <c r="A373" s="23" t="str">
        <f>IF(ISBLANK(D373),"",COUNTA($D$7:D373))</f>
        <v/>
      </c>
      <c r="B373" s="5"/>
      <c r="C373" s="6"/>
      <c r="D373" s="6"/>
      <c r="E373" s="13"/>
      <c r="F373" s="13"/>
      <c r="G373" s="7">
        <f t="shared" si="10"/>
        <v>0</v>
      </c>
      <c r="H373" s="8"/>
      <c r="I373" s="8"/>
      <c r="J373" s="8"/>
      <c r="K373" s="13"/>
      <c r="L373" s="13"/>
      <c r="M373" s="7">
        <f t="shared" si="11"/>
        <v>0</v>
      </c>
      <c r="N373" s="7"/>
      <c r="O373" s="9"/>
    </row>
    <row r="374" spans="1:15" x14ac:dyDescent="0.25">
      <c r="A374" s="23" t="str">
        <f>IF(ISBLANK(D374),"",COUNTA($D$7:D374))</f>
        <v/>
      </c>
      <c r="B374" s="5"/>
      <c r="C374" s="6"/>
      <c r="D374" s="6"/>
      <c r="E374" s="13"/>
      <c r="F374" s="13"/>
      <c r="G374" s="7">
        <f t="shared" si="10"/>
        <v>0</v>
      </c>
      <c r="H374" s="8"/>
      <c r="I374" s="8"/>
      <c r="J374" s="8"/>
      <c r="K374" s="13"/>
      <c r="L374" s="13"/>
      <c r="M374" s="7">
        <f t="shared" si="11"/>
        <v>0</v>
      </c>
      <c r="N374" s="7"/>
      <c r="O374" s="9"/>
    </row>
    <row r="375" spans="1:15" x14ac:dyDescent="0.25">
      <c r="A375" s="23" t="str">
        <f>IF(ISBLANK(D375),"",COUNTA($D$7:D375))</f>
        <v/>
      </c>
      <c r="B375" s="5"/>
      <c r="C375" s="6"/>
      <c r="D375" s="6"/>
      <c r="E375" s="13"/>
      <c r="F375" s="13"/>
      <c r="G375" s="7">
        <f t="shared" si="10"/>
        <v>0</v>
      </c>
      <c r="H375" s="8"/>
      <c r="I375" s="8"/>
      <c r="J375" s="8"/>
      <c r="K375" s="13"/>
      <c r="L375" s="13"/>
      <c r="M375" s="7">
        <f t="shared" si="11"/>
        <v>0</v>
      </c>
      <c r="N375" s="7"/>
      <c r="O375" s="9"/>
    </row>
    <row r="376" spans="1:15" x14ac:dyDescent="0.25">
      <c r="A376" s="23" t="str">
        <f>IF(ISBLANK(D376),"",COUNTA($D$7:D376))</f>
        <v/>
      </c>
      <c r="B376" s="5"/>
      <c r="C376" s="6"/>
      <c r="D376" s="6"/>
      <c r="E376" s="13"/>
      <c r="F376" s="13"/>
      <c r="G376" s="7">
        <f t="shared" si="10"/>
        <v>0</v>
      </c>
      <c r="H376" s="8"/>
      <c r="I376" s="8"/>
      <c r="J376" s="8"/>
      <c r="K376" s="13"/>
      <c r="L376" s="13"/>
      <c r="M376" s="7">
        <f t="shared" si="11"/>
        <v>0</v>
      </c>
      <c r="N376" s="7"/>
      <c r="O376" s="9"/>
    </row>
    <row r="377" spans="1:15" x14ac:dyDescent="0.25">
      <c r="A377" s="23" t="str">
        <f>IF(ISBLANK(D377),"",COUNTA($D$7:D377))</f>
        <v/>
      </c>
      <c r="B377" s="5"/>
      <c r="C377" s="6"/>
      <c r="D377" s="6"/>
      <c r="E377" s="13"/>
      <c r="F377" s="13"/>
      <c r="G377" s="7">
        <f t="shared" si="10"/>
        <v>0</v>
      </c>
      <c r="H377" s="8"/>
      <c r="I377" s="8"/>
      <c r="J377" s="8"/>
      <c r="K377" s="13"/>
      <c r="L377" s="13"/>
      <c r="M377" s="7">
        <f t="shared" si="11"/>
        <v>0</v>
      </c>
      <c r="N377" s="7"/>
      <c r="O377" s="9"/>
    </row>
    <row r="378" spans="1:15" x14ac:dyDescent="0.25">
      <c r="A378" s="23" t="str">
        <f>IF(ISBLANK(D378),"",COUNTA($D$7:D378))</f>
        <v/>
      </c>
      <c r="B378" s="5"/>
      <c r="C378" s="6"/>
      <c r="D378" s="6"/>
      <c r="E378" s="13"/>
      <c r="F378" s="13"/>
      <c r="G378" s="7">
        <f t="shared" si="10"/>
        <v>0</v>
      </c>
      <c r="H378" s="8"/>
      <c r="I378" s="8"/>
      <c r="J378" s="8"/>
      <c r="K378" s="13"/>
      <c r="L378" s="13"/>
      <c r="M378" s="7">
        <f t="shared" si="11"/>
        <v>0</v>
      </c>
      <c r="N378" s="7"/>
      <c r="O378" s="9"/>
    </row>
    <row r="379" spans="1:15" x14ac:dyDescent="0.25">
      <c r="A379" s="23" t="str">
        <f>IF(ISBLANK(D379),"",COUNTA($D$7:D379))</f>
        <v/>
      </c>
      <c r="B379" s="5"/>
      <c r="C379" s="6"/>
      <c r="D379" s="6"/>
      <c r="E379" s="13"/>
      <c r="F379" s="13"/>
      <c r="G379" s="7">
        <f t="shared" si="10"/>
        <v>0</v>
      </c>
      <c r="H379" s="8"/>
      <c r="I379" s="8"/>
      <c r="J379" s="8"/>
      <c r="K379" s="13"/>
      <c r="L379" s="13"/>
      <c r="M379" s="7">
        <f t="shared" si="11"/>
        <v>0</v>
      </c>
      <c r="N379" s="7"/>
      <c r="O379" s="9"/>
    </row>
    <row r="380" spans="1:15" x14ac:dyDescent="0.25">
      <c r="A380" s="23" t="str">
        <f>IF(ISBLANK(D380),"",COUNTA($D$7:D380))</f>
        <v/>
      </c>
      <c r="B380" s="5"/>
      <c r="C380" s="6"/>
      <c r="D380" s="6"/>
      <c r="E380" s="13"/>
      <c r="F380" s="13"/>
      <c r="G380" s="7">
        <f t="shared" si="10"/>
        <v>0</v>
      </c>
      <c r="H380" s="8"/>
      <c r="I380" s="8"/>
      <c r="J380" s="8"/>
      <c r="K380" s="13"/>
      <c r="L380" s="13"/>
      <c r="M380" s="7">
        <f t="shared" si="11"/>
        <v>0</v>
      </c>
      <c r="N380" s="7"/>
      <c r="O380" s="9"/>
    </row>
    <row r="381" spans="1:15" x14ac:dyDescent="0.25">
      <c r="A381" s="23" t="str">
        <f>IF(ISBLANK(D381),"",COUNTA($D$7:D381))</f>
        <v/>
      </c>
      <c r="B381" s="5"/>
      <c r="C381" s="6"/>
      <c r="D381" s="6"/>
      <c r="E381" s="13"/>
      <c r="F381" s="13"/>
      <c r="G381" s="7">
        <f t="shared" si="10"/>
        <v>0</v>
      </c>
      <c r="H381" s="8"/>
      <c r="I381" s="8"/>
      <c r="J381" s="8"/>
      <c r="K381" s="13"/>
      <c r="L381" s="13"/>
      <c r="M381" s="7">
        <f t="shared" si="11"/>
        <v>0</v>
      </c>
      <c r="N381" s="7"/>
      <c r="O381" s="9"/>
    </row>
    <row r="382" spans="1:15" x14ac:dyDescent="0.25">
      <c r="A382" s="23" t="str">
        <f>IF(ISBLANK(D382),"",COUNTA($D$7:D382))</f>
        <v/>
      </c>
      <c r="B382" s="5"/>
      <c r="C382" s="6"/>
      <c r="D382" s="6"/>
      <c r="E382" s="13"/>
      <c r="F382" s="13"/>
      <c r="G382" s="7">
        <f t="shared" si="10"/>
        <v>0</v>
      </c>
      <c r="H382" s="8"/>
      <c r="I382" s="8"/>
      <c r="J382" s="8"/>
      <c r="K382" s="13"/>
      <c r="L382" s="13"/>
      <c r="M382" s="7">
        <f t="shared" si="11"/>
        <v>0</v>
      </c>
      <c r="N382" s="7"/>
      <c r="O382" s="9"/>
    </row>
    <row r="383" spans="1:15" x14ac:dyDescent="0.25">
      <c r="A383" s="23" t="str">
        <f>IF(ISBLANK(D383),"",COUNTA($D$7:D383))</f>
        <v/>
      </c>
      <c r="B383" s="5"/>
      <c r="C383" s="6"/>
      <c r="D383" s="6"/>
      <c r="E383" s="13"/>
      <c r="F383" s="13"/>
      <c r="G383" s="7">
        <f t="shared" si="10"/>
        <v>0</v>
      </c>
      <c r="H383" s="8"/>
      <c r="I383" s="8"/>
      <c r="J383" s="8"/>
      <c r="K383" s="13"/>
      <c r="L383" s="13"/>
      <c r="M383" s="7">
        <f t="shared" si="11"/>
        <v>0</v>
      </c>
      <c r="N383" s="7"/>
      <c r="O383" s="9"/>
    </row>
    <row r="384" spans="1:15" x14ac:dyDescent="0.25">
      <c r="A384" s="23" t="str">
        <f>IF(ISBLANK(D384),"",COUNTA($D$7:D384))</f>
        <v/>
      </c>
      <c r="B384" s="5"/>
      <c r="C384" s="6"/>
      <c r="D384" s="6"/>
      <c r="E384" s="13"/>
      <c r="F384" s="13"/>
      <c r="G384" s="7">
        <f t="shared" si="10"/>
        <v>0</v>
      </c>
      <c r="H384" s="8"/>
      <c r="I384" s="8"/>
      <c r="J384" s="8"/>
      <c r="K384" s="13"/>
      <c r="L384" s="13"/>
      <c r="M384" s="7">
        <f t="shared" si="11"/>
        <v>0</v>
      </c>
      <c r="N384" s="7"/>
      <c r="O384" s="9"/>
    </row>
    <row r="385" spans="1:15" x14ac:dyDescent="0.25">
      <c r="A385" s="23" t="str">
        <f>IF(ISBLANK(D385),"",COUNTA($D$7:D385))</f>
        <v/>
      </c>
      <c r="B385" s="5"/>
      <c r="C385" s="6"/>
      <c r="D385" s="6"/>
      <c r="E385" s="13"/>
      <c r="F385" s="13"/>
      <c r="G385" s="7">
        <f t="shared" si="10"/>
        <v>0</v>
      </c>
      <c r="H385" s="8"/>
      <c r="I385" s="8"/>
      <c r="J385" s="8"/>
      <c r="K385" s="13"/>
      <c r="L385" s="13"/>
      <c r="M385" s="7">
        <f t="shared" si="11"/>
        <v>0</v>
      </c>
      <c r="N385" s="7"/>
      <c r="O385" s="9"/>
    </row>
    <row r="386" spans="1:15" x14ac:dyDescent="0.25">
      <c r="A386" s="23" t="str">
        <f>IF(ISBLANK(D386),"",COUNTA($D$7:D386))</f>
        <v/>
      </c>
      <c r="B386" s="5"/>
      <c r="C386" s="6"/>
      <c r="D386" s="6"/>
      <c r="E386" s="13"/>
      <c r="F386" s="13"/>
      <c r="G386" s="7">
        <f t="shared" si="10"/>
        <v>0</v>
      </c>
      <c r="H386" s="8"/>
      <c r="I386" s="8"/>
      <c r="J386" s="8"/>
      <c r="K386" s="13"/>
      <c r="L386" s="13"/>
      <c r="M386" s="7">
        <f t="shared" si="11"/>
        <v>0</v>
      </c>
      <c r="N386" s="7"/>
      <c r="O386" s="9"/>
    </row>
    <row r="387" spans="1:15" x14ac:dyDescent="0.25">
      <c r="A387" s="23" t="str">
        <f>IF(ISBLANK(D387),"",COUNTA($D$7:D387))</f>
        <v/>
      </c>
      <c r="B387" s="5"/>
      <c r="C387" s="6"/>
      <c r="D387" s="6"/>
      <c r="E387" s="13"/>
      <c r="F387" s="13"/>
      <c r="G387" s="7">
        <f t="shared" si="10"/>
        <v>0</v>
      </c>
      <c r="H387" s="8"/>
      <c r="I387" s="8"/>
      <c r="J387" s="8"/>
      <c r="K387" s="13"/>
      <c r="L387" s="13"/>
      <c r="M387" s="7">
        <f t="shared" si="11"/>
        <v>0</v>
      </c>
      <c r="N387" s="7"/>
      <c r="O387" s="9"/>
    </row>
    <row r="388" spans="1:15" x14ac:dyDescent="0.25">
      <c r="A388" s="23" t="str">
        <f>IF(ISBLANK(D388),"",COUNTA($D$7:D388))</f>
        <v/>
      </c>
      <c r="B388" s="5"/>
      <c r="C388" s="6"/>
      <c r="D388" s="6"/>
      <c r="E388" s="13"/>
      <c r="F388" s="13"/>
      <c r="G388" s="7">
        <f t="shared" si="10"/>
        <v>0</v>
      </c>
      <c r="H388" s="8"/>
      <c r="I388" s="8"/>
      <c r="J388" s="8"/>
      <c r="K388" s="13"/>
      <c r="L388" s="13"/>
      <c r="M388" s="7">
        <f t="shared" si="11"/>
        <v>0</v>
      </c>
      <c r="N388" s="7"/>
      <c r="O388" s="9"/>
    </row>
    <row r="389" spans="1:15" x14ac:dyDescent="0.25">
      <c r="A389" s="23" t="str">
        <f>IF(ISBLANK(D389),"",COUNTA($D$7:D389))</f>
        <v/>
      </c>
      <c r="B389" s="5"/>
      <c r="C389" s="6"/>
      <c r="D389" s="6"/>
      <c r="E389" s="13"/>
      <c r="F389" s="13"/>
      <c r="G389" s="7">
        <f t="shared" si="10"/>
        <v>0</v>
      </c>
      <c r="H389" s="8"/>
      <c r="I389" s="8"/>
      <c r="J389" s="8"/>
      <c r="K389" s="13"/>
      <c r="L389" s="13"/>
      <c r="M389" s="7">
        <f t="shared" si="11"/>
        <v>0</v>
      </c>
      <c r="N389" s="7"/>
      <c r="O389" s="9"/>
    </row>
    <row r="390" spans="1:15" x14ac:dyDescent="0.25">
      <c r="A390" s="23" t="str">
        <f>IF(ISBLANK(D390),"",COUNTA($D$7:D390))</f>
        <v/>
      </c>
      <c r="B390" s="5"/>
      <c r="C390" s="6"/>
      <c r="D390" s="6"/>
      <c r="E390" s="13"/>
      <c r="F390" s="13"/>
      <c r="G390" s="7">
        <f t="shared" si="10"/>
        <v>0</v>
      </c>
      <c r="H390" s="8"/>
      <c r="I390" s="8"/>
      <c r="J390" s="8"/>
      <c r="K390" s="13"/>
      <c r="L390" s="13"/>
      <c r="M390" s="7">
        <f t="shared" si="11"/>
        <v>0</v>
      </c>
      <c r="N390" s="7"/>
      <c r="O390" s="9"/>
    </row>
    <row r="391" spans="1:15" x14ac:dyDescent="0.25">
      <c r="A391" s="23" t="str">
        <f>IF(ISBLANK(D391),"",COUNTA($D$7:D391))</f>
        <v/>
      </c>
      <c r="B391" s="5"/>
      <c r="C391" s="6"/>
      <c r="D391" s="6"/>
      <c r="E391" s="13"/>
      <c r="F391" s="13"/>
      <c r="G391" s="7">
        <f t="shared" si="10"/>
        <v>0</v>
      </c>
      <c r="H391" s="8"/>
      <c r="I391" s="8"/>
      <c r="J391" s="8"/>
      <c r="K391" s="13"/>
      <c r="L391" s="13"/>
      <c r="M391" s="7">
        <f t="shared" si="11"/>
        <v>0</v>
      </c>
      <c r="N391" s="7"/>
      <c r="O391" s="9"/>
    </row>
    <row r="392" spans="1:15" x14ac:dyDescent="0.25">
      <c r="A392" s="23" t="str">
        <f>IF(ISBLANK(D392),"",COUNTA($D$7:D392))</f>
        <v/>
      </c>
      <c r="B392" s="5"/>
      <c r="C392" s="6"/>
      <c r="D392" s="6"/>
      <c r="E392" s="13"/>
      <c r="F392" s="13"/>
      <c r="G392" s="7">
        <f t="shared" ref="G392:G455" si="12">IF(AND(E392&lt;&gt;"",F392&lt;&gt;""),(VLOOKUP(E392,$AC$2:$AD$7,2,FALSE)*VLOOKUP(F392,$AE$2:$AF$6,2,FALSE)),0)</f>
        <v>0</v>
      </c>
      <c r="H392" s="8"/>
      <c r="I392" s="8"/>
      <c r="J392" s="8"/>
      <c r="K392" s="13"/>
      <c r="L392" s="13"/>
      <c r="M392" s="7">
        <f t="shared" ref="M392:M455" si="13">IF(C392="Opportunity",0.01,IF(AND(K392&lt;&gt;"",L392&lt;&gt;""),(VLOOKUP(K392,$AC$2:$AD$7,2,FALSE))*(VLOOKUP(L392,$AE$2:$AF$6,2,FALSE)),0))</f>
        <v>0</v>
      </c>
      <c r="N392" s="7"/>
      <c r="O392" s="9"/>
    </row>
    <row r="393" spans="1:15" x14ac:dyDescent="0.25">
      <c r="A393" s="23" t="str">
        <f>IF(ISBLANK(D393),"",COUNTA($D$7:D393))</f>
        <v/>
      </c>
      <c r="B393" s="5"/>
      <c r="C393" s="6"/>
      <c r="D393" s="6"/>
      <c r="E393" s="13"/>
      <c r="F393" s="13"/>
      <c r="G393" s="7">
        <f t="shared" si="12"/>
        <v>0</v>
      </c>
      <c r="H393" s="8"/>
      <c r="I393" s="8"/>
      <c r="J393" s="8"/>
      <c r="K393" s="13"/>
      <c r="L393" s="13"/>
      <c r="M393" s="7">
        <f t="shared" si="13"/>
        <v>0</v>
      </c>
      <c r="N393" s="7"/>
      <c r="O393" s="9"/>
    </row>
    <row r="394" spans="1:15" x14ac:dyDescent="0.25">
      <c r="A394" s="23" t="str">
        <f>IF(ISBLANK(D394),"",COUNTA($D$7:D394))</f>
        <v/>
      </c>
      <c r="B394" s="5"/>
      <c r="C394" s="6"/>
      <c r="D394" s="6"/>
      <c r="E394" s="13"/>
      <c r="F394" s="13"/>
      <c r="G394" s="7">
        <f t="shared" si="12"/>
        <v>0</v>
      </c>
      <c r="H394" s="8"/>
      <c r="I394" s="8"/>
      <c r="J394" s="8"/>
      <c r="K394" s="13"/>
      <c r="L394" s="13"/>
      <c r="M394" s="7">
        <f t="shared" si="13"/>
        <v>0</v>
      </c>
      <c r="N394" s="7"/>
      <c r="O394" s="9"/>
    </row>
    <row r="395" spans="1:15" x14ac:dyDescent="0.25">
      <c r="A395" s="23" t="str">
        <f>IF(ISBLANK(D395),"",COUNTA($D$7:D395))</f>
        <v/>
      </c>
      <c r="B395" s="5"/>
      <c r="C395" s="6"/>
      <c r="D395" s="6"/>
      <c r="E395" s="13"/>
      <c r="F395" s="13"/>
      <c r="G395" s="7">
        <f t="shared" si="12"/>
        <v>0</v>
      </c>
      <c r="H395" s="8"/>
      <c r="I395" s="8"/>
      <c r="J395" s="8"/>
      <c r="K395" s="13"/>
      <c r="L395" s="13"/>
      <c r="M395" s="7">
        <f t="shared" si="13"/>
        <v>0</v>
      </c>
      <c r="N395" s="7"/>
      <c r="O395" s="9"/>
    </row>
    <row r="396" spans="1:15" x14ac:dyDescent="0.25">
      <c r="A396" s="23" t="str">
        <f>IF(ISBLANK(D396),"",COUNTA($D$7:D396))</f>
        <v/>
      </c>
      <c r="B396" s="5"/>
      <c r="C396" s="6"/>
      <c r="D396" s="6"/>
      <c r="E396" s="13"/>
      <c r="F396" s="13"/>
      <c r="G396" s="7">
        <f t="shared" si="12"/>
        <v>0</v>
      </c>
      <c r="H396" s="8"/>
      <c r="I396" s="8"/>
      <c r="J396" s="8"/>
      <c r="K396" s="13"/>
      <c r="L396" s="13"/>
      <c r="M396" s="7">
        <f t="shared" si="13"/>
        <v>0</v>
      </c>
      <c r="N396" s="7"/>
      <c r="O396" s="9"/>
    </row>
    <row r="397" spans="1:15" x14ac:dyDescent="0.25">
      <c r="A397" s="23" t="str">
        <f>IF(ISBLANK(D397),"",COUNTA($D$7:D397))</f>
        <v/>
      </c>
      <c r="B397" s="5"/>
      <c r="C397" s="6"/>
      <c r="D397" s="6"/>
      <c r="E397" s="13"/>
      <c r="F397" s="13"/>
      <c r="G397" s="7">
        <f t="shared" si="12"/>
        <v>0</v>
      </c>
      <c r="H397" s="8"/>
      <c r="I397" s="8"/>
      <c r="J397" s="8"/>
      <c r="K397" s="13"/>
      <c r="L397" s="13"/>
      <c r="M397" s="7">
        <f t="shared" si="13"/>
        <v>0</v>
      </c>
      <c r="N397" s="7"/>
      <c r="O397" s="9"/>
    </row>
    <row r="398" spans="1:15" x14ac:dyDescent="0.25">
      <c r="A398" s="23" t="str">
        <f>IF(ISBLANK(D398),"",COUNTA($D$7:D398))</f>
        <v/>
      </c>
      <c r="B398" s="5"/>
      <c r="C398" s="6"/>
      <c r="D398" s="6"/>
      <c r="E398" s="13"/>
      <c r="F398" s="13"/>
      <c r="G398" s="7">
        <f t="shared" si="12"/>
        <v>0</v>
      </c>
      <c r="H398" s="8"/>
      <c r="I398" s="8"/>
      <c r="J398" s="8"/>
      <c r="K398" s="13"/>
      <c r="L398" s="13"/>
      <c r="M398" s="7">
        <f t="shared" si="13"/>
        <v>0</v>
      </c>
      <c r="N398" s="7"/>
      <c r="O398" s="9"/>
    </row>
    <row r="399" spans="1:15" x14ac:dyDescent="0.25">
      <c r="A399" s="23" t="str">
        <f>IF(ISBLANK(D399),"",COUNTA($D$7:D399))</f>
        <v/>
      </c>
      <c r="B399" s="5"/>
      <c r="C399" s="6"/>
      <c r="D399" s="6"/>
      <c r="E399" s="13"/>
      <c r="F399" s="13"/>
      <c r="G399" s="7">
        <f t="shared" si="12"/>
        <v>0</v>
      </c>
      <c r="H399" s="8"/>
      <c r="I399" s="8"/>
      <c r="J399" s="8"/>
      <c r="K399" s="13"/>
      <c r="L399" s="13"/>
      <c r="M399" s="7">
        <f t="shared" si="13"/>
        <v>0</v>
      </c>
      <c r="N399" s="7"/>
      <c r="O399" s="9"/>
    </row>
    <row r="400" spans="1:15" x14ac:dyDescent="0.25">
      <c r="A400" s="23" t="str">
        <f>IF(ISBLANK(D400),"",COUNTA($D$7:D400))</f>
        <v/>
      </c>
      <c r="B400" s="5"/>
      <c r="C400" s="6"/>
      <c r="D400" s="6"/>
      <c r="E400" s="13"/>
      <c r="F400" s="13"/>
      <c r="G400" s="7">
        <f t="shared" si="12"/>
        <v>0</v>
      </c>
      <c r="H400" s="8"/>
      <c r="I400" s="8"/>
      <c r="J400" s="8"/>
      <c r="K400" s="13"/>
      <c r="L400" s="13"/>
      <c r="M400" s="7">
        <f t="shared" si="13"/>
        <v>0</v>
      </c>
      <c r="N400" s="7"/>
      <c r="O400" s="9"/>
    </row>
    <row r="401" spans="1:15" x14ac:dyDescent="0.25">
      <c r="A401" s="23" t="str">
        <f>IF(ISBLANK(D401),"",COUNTA($D$7:D401))</f>
        <v/>
      </c>
      <c r="B401" s="5"/>
      <c r="C401" s="6"/>
      <c r="D401" s="6"/>
      <c r="E401" s="13"/>
      <c r="F401" s="13"/>
      <c r="G401" s="7">
        <f t="shared" si="12"/>
        <v>0</v>
      </c>
      <c r="H401" s="8"/>
      <c r="I401" s="8"/>
      <c r="J401" s="8"/>
      <c r="K401" s="13"/>
      <c r="L401" s="13"/>
      <c r="M401" s="7">
        <f t="shared" si="13"/>
        <v>0</v>
      </c>
      <c r="N401" s="7"/>
      <c r="O401" s="9"/>
    </row>
    <row r="402" spans="1:15" x14ac:dyDescent="0.25">
      <c r="A402" s="23" t="str">
        <f>IF(ISBLANK(D402),"",COUNTA($D$7:D402))</f>
        <v/>
      </c>
      <c r="B402" s="5"/>
      <c r="C402" s="6"/>
      <c r="D402" s="6"/>
      <c r="E402" s="13"/>
      <c r="F402" s="13"/>
      <c r="G402" s="7">
        <f t="shared" si="12"/>
        <v>0</v>
      </c>
      <c r="H402" s="8"/>
      <c r="I402" s="8"/>
      <c r="J402" s="8"/>
      <c r="K402" s="13"/>
      <c r="L402" s="13"/>
      <c r="M402" s="7">
        <f t="shared" si="13"/>
        <v>0</v>
      </c>
      <c r="N402" s="7"/>
      <c r="O402" s="9"/>
    </row>
    <row r="403" spans="1:15" x14ac:dyDescent="0.25">
      <c r="A403" s="23" t="str">
        <f>IF(ISBLANK(D403),"",COUNTA($D$7:D403))</f>
        <v/>
      </c>
      <c r="B403" s="5"/>
      <c r="C403" s="6"/>
      <c r="D403" s="6"/>
      <c r="E403" s="13"/>
      <c r="F403" s="13"/>
      <c r="G403" s="7">
        <f t="shared" si="12"/>
        <v>0</v>
      </c>
      <c r="H403" s="8"/>
      <c r="I403" s="8"/>
      <c r="J403" s="8"/>
      <c r="K403" s="13"/>
      <c r="L403" s="13"/>
      <c r="M403" s="7">
        <f t="shared" si="13"/>
        <v>0</v>
      </c>
      <c r="N403" s="7"/>
      <c r="O403" s="9"/>
    </row>
    <row r="404" spans="1:15" x14ac:dyDescent="0.25">
      <c r="A404" s="23" t="str">
        <f>IF(ISBLANK(D404),"",COUNTA($D$7:D404))</f>
        <v/>
      </c>
      <c r="B404" s="5"/>
      <c r="C404" s="6"/>
      <c r="D404" s="6"/>
      <c r="E404" s="13"/>
      <c r="F404" s="13"/>
      <c r="G404" s="7">
        <f t="shared" si="12"/>
        <v>0</v>
      </c>
      <c r="H404" s="8"/>
      <c r="I404" s="8"/>
      <c r="J404" s="8"/>
      <c r="K404" s="13"/>
      <c r="L404" s="13"/>
      <c r="M404" s="7">
        <f t="shared" si="13"/>
        <v>0</v>
      </c>
      <c r="N404" s="7"/>
      <c r="O404" s="9"/>
    </row>
    <row r="405" spans="1:15" x14ac:dyDescent="0.25">
      <c r="A405" s="23" t="str">
        <f>IF(ISBLANK(D405),"",COUNTA($D$7:D405))</f>
        <v/>
      </c>
      <c r="B405" s="5"/>
      <c r="C405" s="6"/>
      <c r="D405" s="6"/>
      <c r="E405" s="13"/>
      <c r="F405" s="13"/>
      <c r="G405" s="7">
        <f t="shared" si="12"/>
        <v>0</v>
      </c>
      <c r="H405" s="8"/>
      <c r="I405" s="8"/>
      <c r="J405" s="8"/>
      <c r="K405" s="13"/>
      <c r="L405" s="13"/>
      <c r="M405" s="7">
        <f t="shared" si="13"/>
        <v>0</v>
      </c>
      <c r="N405" s="7"/>
      <c r="O405" s="9"/>
    </row>
    <row r="406" spans="1:15" x14ac:dyDescent="0.25">
      <c r="A406" s="23" t="str">
        <f>IF(ISBLANK(D406),"",COUNTA($D$7:D406))</f>
        <v/>
      </c>
      <c r="B406" s="5"/>
      <c r="C406" s="6"/>
      <c r="D406" s="6"/>
      <c r="E406" s="13"/>
      <c r="F406" s="13"/>
      <c r="G406" s="7">
        <f t="shared" si="12"/>
        <v>0</v>
      </c>
      <c r="H406" s="8"/>
      <c r="I406" s="8"/>
      <c r="J406" s="8"/>
      <c r="K406" s="13"/>
      <c r="L406" s="13"/>
      <c r="M406" s="7">
        <f t="shared" si="13"/>
        <v>0</v>
      </c>
      <c r="N406" s="7"/>
      <c r="O406" s="9"/>
    </row>
    <row r="407" spans="1:15" x14ac:dyDescent="0.25">
      <c r="A407" s="23" t="str">
        <f>IF(ISBLANK(D407),"",COUNTA($D$7:D407))</f>
        <v/>
      </c>
      <c r="B407" s="5"/>
      <c r="C407" s="6"/>
      <c r="D407" s="6"/>
      <c r="E407" s="13"/>
      <c r="F407" s="13"/>
      <c r="G407" s="7">
        <f t="shared" si="12"/>
        <v>0</v>
      </c>
      <c r="H407" s="8"/>
      <c r="I407" s="8"/>
      <c r="J407" s="8"/>
      <c r="K407" s="13"/>
      <c r="L407" s="13"/>
      <c r="M407" s="7">
        <f t="shared" si="13"/>
        <v>0</v>
      </c>
      <c r="N407" s="7"/>
      <c r="O407" s="9"/>
    </row>
    <row r="408" spans="1:15" x14ac:dyDescent="0.25">
      <c r="A408" s="23" t="str">
        <f>IF(ISBLANK(D408),"",COUNTA($D$7:D408))</f>
        <v/>
      </c>
      <c r="B408" s="5"/>
      <c r="C408" s="6"/>
      <c r="D408" s="6"/>
      <c r="E408" s="13"/>
      <c r="F408" s="13"/>
      <c r="G408" s="7">
        <f t="shared" si="12"/>
        <v>0</v>
      </c>
      <c r="H408" s="8"/>
      <c r="I408" s="8"/>
      <c r="J408" s="8"/>
      <c r="K408" s="13"/>
      <c r="L408" s="13"/>
      <c r="M408" s="7">
        <f t="shared" si="13"/>
        <v>0</v>
      </c>
      <c r="N408" s="7"/>
      <c r="O408" s="9"/>
    </row>
    <row r="409" spans="1:15" x14ac:dyDescent="0.25">
      <c r="A409" s="23" t="str">
        <f>IF(ISBLANK(D409),"",COUNTA($D$7:D409))</f>
        <v/>
      </c>
      <c r="B409" s="5"/>
      <c r="C409" s="6"/>
      <c r="D409" s="6"/>
      <c r="E409" s="13"/>
      <c r="F409" s="13"/>
      <c r="G409" s="7">
        <f t="shared" si="12"/>
        <v>0</v>
      </c>
      <c r="H409" s="8"/>
      <c r="I409" s="8"/>
      <c r="J409" s="8"/>
      <c r="K409" s="13"/>
      <c r="L409" s="13"/>
      <c r="M409" s="7">
        <f t="shared" si="13"/>
        <v>0</v>
      </c>
      <c r="N409" s="7"/>
      <c r="O409" s="9"/>
    </row>
    <row r="410" spans="1:15" x14ac:dyDescent="0.25">
      <c r="A410" s="23" t="str">
        <f>IF(ISBLANK(D410),"",COUNTA($D$7:D410))</f>
        <v/>
      </c>
      <c r="B410" s="5"/>
      <c r="C410" s="6"/>
      <c r="D410" s="6"/>
      <c r="E410" s="13"/>
      <c r="F410" s="13"/>
      <c r="G410" s="7">
        <f t="shared" si="12"/>
        <v>0</v>
      </c>
      <c r="H410" s="8"/>
      <c r="I410" s="8"/>
      <c r="J410" s="8"/>
      <c r="K410" s="13"/>
      <c r="L410" s="13"/>
      <c r="M410" s="7">
        <f t="shared" si="13"/>
        <v>0</v>
      </c>
      <c r="N410" s="7"/>
      <c r="O410" s="9"/>
    </row>
    <row r="411" spans="1:15" x14ac:dyDescent="0.25">
      <c r="A411" s="23" t="str">
        <f>IF(ISBLANK(D411),"",COUNTA($D$7:D411))</f>
        <v/>
      </c>
      <c r="B411" s="5"/>
      <c r="C411" s="6"/>
      <c r="D411" s="6"/>
      <c r="E411" s="13"/>
      <c r="F411" s="13"/>
      <c r="G411" s="7">
        <f t="shared" si="12"/>
        <v>0</v>
      </c>
      <c r="H411" s="8"/>
      <c r="I411" s="8"/>
      <c r="J411" s="8"/>
      <c r="K411" s="13"/>
      <c r="L411" s="13"/>
      <c r="M411" s="7">
        <f t="shared" si="13"/>
        <v>0</v>
      </c>
      <c r="N411" s="7"/>
      <c r="O411" s="9"/>
    </row>
    <row r="412" spans="1:15" x14ac:dyDescent="0.25">
      <c r="A412" s="23" t="str">
        <f>IF(ISBLANK(D412),"",COUNTA($D$7:D412))</f>
        <v/>
      </c>
      <c r="B412" s="5"/>
      <c r="C412" s="6"/>
      <c r="D412" s="6"/>
      <c r="E412" s="13"/>
      <c r="F412" s="13"/>
      <c r="G412" s="7">
        <f t="shared" si="12"/>
        <v>0</v>
      </c>
      <c r="H412" s="8"/>
      <c r="I412" s="8"/>
      <c r="J412" s="8"/>
      <c r="K412" s="13"/>
      <c r="L412" s="13"/>
      <c r="M412" s="7">
        <f t="shared" si="13"/>
        <v>0</v>
      </c>
      <c r="N412" s="7"/>
      <c r="O412" s="9"/>
    </row>
    <row r="413" spans="1:15" x14ac:dyDescent="0.25">
      <c r="A413" s="23" t="str">
        <f>IF(ISBLANK(D413),"",COUNTA($D$7:D413))</f>
        <v/>
      </c>
      <c r="B413" s="5"/>
      <c r="C413" s="6"/>
      <c r="D413" s="6"/>
      <c r="E413" s="13"/>
      <c r="F413" s="13"/>
      <c r="G413" s="7">
        <f t="shared" si="12"/>
        <v>0</v>
      </c>
      <c r="H413" s="8"/>
      <c r="I413" s="8"/>
      <c r="J413" s="8"/>
      <c r="K413" s="13"/>
      <c r="L413" s="13"/>
      <c r="M413" s="7">
        <f t="shared" si="13"/>
        <v>0</v>
      </c>
      <c r="N413" s="7"/>
      <c r="O413" s="9"/>
    </row>
    <row r="414" spans="1:15" x14ac:dyDescent="0.25">
      <c r="A414" s="23" t="str">
        <f>IF(ISBLANK(D414),"",COUNTA($D$7:D414))</f>
        <v/>
      </c>
      <c r="B414" s="5"/>
      <c r="C414" s="6"/>
      <c r="D414" s="6"/>
      <c r="E414" s="13"/>
      <c r="F414" s="13"/>
      <c r="G414" s="7">
        <f t="shared" si="12"/>
        <v>0</v>
      </c>
      <c r="H414" s="8"/>
      <c r="I414" s="8"/>
      <c r="J414" s="8"/>
      <c r="K414" s="13"/>
      <c r="L414" s="13"/>
      <c r="M414" s="7">
        <f t="shared" si="13"/>
        <v>0</v>
      </c>
      <c r="N414" s="7"/>
      <c r="O414" s="9"/>
    </row>
    <row r="415" spans="1:15" x14ac:dyDescent="0.25">
      <c r="A415" s="23" t="str">
        <f>IF(ISBLANK(D415),"",COUNTA($D$7:D415))</f>
        <v/>
      </c>
      <c r="B415" s="5"/>
      <c r="C415" s="6"/>
      <c r="D415" s="6"/>
      <c r="E415" s="13"/>
      <c r="F415" s="13"/>
      <c r="G415" s="7">
        <f t="shared" si="12"/>
        <v>0</v>
      </c>
      <c r="H415" s="8"/>
      <c r="I415" s="8"/>
      <c r="J415" s="8"/>
      <c r="K415" s="13"/>
      <c r="L415" s="13"/>
      <c r="M415" s="7">
        <f t="shared" si="13"/>
        <v>0</v>
      </c>
      <c r="N415" s="7"/>
      <c r="O415" s="9"/>
    </row>
    <row r="416" spans="1:15" x14ac:dyDescent="0.25">
      <c r="A416" s="23" t="str">
        <f>IF(ISBLANK(D416),"",COUNTA($D$7:D416))</f>
        <v/>
      </c>
      <c r="B416" s="5"/>
      <c r="C416" s="6"/>
      <c r="D416" s="6"/>
      <c r="E416" s="13"/>
      <c r="F416" s="13"/>
      <c r="G416" s="7">
        <f t="shared" si="12"/>
        <v>0</v>
      </c>
      <c r="H416" s="8"/>
      <c r="I416" s="8"/>
      <c r="J416" s="8"/>
      <c r="K416" s="13"/>
      <c r="L416" s="13"/>
      <c r="M416" s="7">
        <f t="shared" si="13"/>
        <v>0</v>
      </c>
      <c r="N416" s="7"/>
      <c r="O416" s="9"/>
    </row>
    <row r="417" spans="1:15" x14ac:dyDescent="0.25">
      <c r="A417" s="23" t="str">
        <f>IF(ISBLANK(D417),"",COUNTA($D$7:D417))</f>
        <v/>
      </c>
      <c r="B417" s="5"/>
      <c r="C417" s="6"/>
      <c r="D417" s="6"/>
      <c r="E417" s="13"/>
      <c r="F417" s="13"/>
      <c r="G417" s="7">
        <f t="shared" si="12"/>
        <v>0</v>
      </c>
      <c r="H417" s="8"/>
      <c r="I417" s="8"/>
      <c r="J417" s="8"/>
      <c r="K417" s="13"/>
      <c r="L417" s="13"/>
      <c r="M417" s="7">
        <f t="shared" si="13"/>
        <v>0</v>
      </c>
      <c r="N417" s="7"/>
      <c r="O417" s="9"/>
    </row>
    <row r="418" spans="1:15" x14ac:dyDescent="0.25">
      <c r="A418" s="23" t="str">
        <f>IF(ISBLANK(D418),"",COUNTA($D$7:D418))</f>
        <v/>
      </c>
      <c r="B418" s="5"/>
      <c r="C418" s="6"/>
      <c r="D418" s="6"/>
      <c r="E418" s="13"/>
      <c r="F418" s="13"/>
      <c r="G418" s="7">
        <f t="shared" si="12"/>
        <v>0</v>
      </c>
      <c r="H418" s="8"/>
      <c r="I418" s="8"/>
      <c r="J418" s="8"/>
      <c r="K418" s="13"/>
      <c r="L418" s="13"/>
      <c r="M418" s="7">
        <f t="shared" si="13"/>
        <v>0</v>
      </c>
      <c r="N418" s="7"/>
      <c r="O418" s="9"/>
    </row>
    <row r="419" spans="1:15" x14ac:dyDescent="0.25">
      <c r="A419" s="23" t="str">
        <f>IF(ISBLANK(D419),"",COUNTA($D$7:D419))</f>
        <v/>
      </c>
      <c r="B419" s="5"/>
      <c r="C419" s="6"/>
      <c r="D419" s="6"/>
      <c r="E419" s="13"/>
      <c r="F419" s="13"/>
      <c r="G419" s="7">
        <f t="shared" si="12"/>
        <v>0</v>
      </c>
      <c r="H419" s="8"/>
      <c r="I419" s="8"/>
      <c r="J419" s="8"/>
      <c r="K419" s="13"/>
      <c r="L419" s="13"/>
      <c r="M419" s="7">
        <f t="shared" si="13"/>
        <v>0</v>
      </c>
      <c r="N419" s="7"/>
      <c r="O419" s="9"/>
    </row>
    <row r="420" spans="1:15" x14ac:dyDescent="0.25">
      <c r="A420" s="23" t="str">
        <f>IF(ISBLANK(D420),"",COUNTA($D$7:D420))</f>
        <v/>
      </c>
      <c r="B420" s="5"/>
      <c r="C420" s="6"/>
      <c r="D420" s="6"/>
      <c r="E420" s="13"/>
      <c r="F420" s="13"/>
      <c r="G420" s="7">
        <f t="shared" si="12"/>
        <v>0</v>
      </c>
      <c r="H420" s="8"/>
      <c r="I420" s="8"/>
      <c r="J420" s="8"/>
      <c r="K420" s="13"/>
      <c r="L420" s="13"/>
      <c r="M420" s="7">
        <f t="shared" si="13"/>
        <v>0</v>
      </c>
      <c r="N420" s="7"/>
      <c r="O420" s="9"/>
    </row>
    <row r="421" spans="1:15" x14ac:dyDescent="0.25">
      <c r="A421" s="23" t="str">
        <f>IF(ISBLANK(D421),"",COUNTA($D$7:D421))</f>
        <v/>
      </c>
      <c r="B421" s="5"/>
      <c r="C421" s="6"/>
      <c r="D421" s="6"/>
      <c r="E421" s="13"/>
      <c r="F421" s="13"/>
      <c r="G421" s="7">
        <f t="shared" si="12"/>
        <v>0</v>
      </c>
      <c r="H421" s="8"/>
      <c r="I421" s="8"/>
      <c r="J421" s="8"/>
      <c r="K421" s="13"/>
      <c r="L421" s="13"/>
      <c r="M421" s="7">
        <f t="shared" si="13"/>
        <v>0</v>
      </c>
      <c r="N421" s="7"/>
      <c r="O421" s="9"/>
    </row>
    <row r="422" spans="1:15" x14ac:dyDescent="0.25">
      <c r="A422" s="23" t="str">
        <f>IF(ISBLANK(D422),"",COUNTA($D$7:D422))</f>
        <v/>
      </c>
      <c r="B422" s="5"/>
      <c r="C422" s="6"/>
      <c r="D422" s="6"/>
      <c r="E422" s="13"/>
      <c r="F422" s="13"/>
      <c r="G422" s="7">
        <f t="shared" si="12"/>
        <v>0</v>
      </c>
      <c r="H422" s="8"/>
      <c r="I422" s="8"/>
      <c r="J422" s="8"/>
      <c r="K422" s="13"/>
      <c r="L422" s="13"/>
      <c r="M422" s="7">
        <f t="shared" si="13"/>
        <v>0</v>
      </c>
      <c r="N422" s="7"/>
      <c r="O422" s="9"/>
    </row>
    <row r="423" spans="1:15" x14ac:dyDescent="0.25">
      <c r="A423" s="23" t="str">
        <f>IF(ISBLANK(D423),"",COUNTA($D$7:D423))</f>
        <v/>
      </c>
      <c r="B423" s="5"/>
      <c r="C423" s="6"/>
      <c r="D423" s="6"/>
      <c r="E423" s="13"/>
      <c r="F423" s="13"/>
      <c r="G423" s="7">
        <f t="shared" si="12"/>
        <v>0</v>
      </c>
      <c r="H423" s="8"/>
      <c r="I423" s="8"/>
      <c r="J423" s="8"/>
      <c r="K423" s="13"/>
      <c r="L423" s="13"/>
      <c r="M423" s="7">
        <f t="shared" si="13"/>
        <v>0</v>
      </c>
      <c r="N423" s="7"/>
      <c r="O423" s="9"/>
    </row>
    <row r="424" spans="1:15" x14ac:dyDescent="0.25">
      <c r="A424" s="23" t="str">
        <f>IF(ISBLANK(D424),"",COUNTA($D$7:D424))</f>
        <v/>
      </c>
      <c r="B424" s="5"/>
      <c r="C424" s="6"/>
      <c r="D424" s="6"/>
      <c r="E424" s="13"/>
      <c r="F424" s="13"/>
      <c r="G424" s="7">
        <f t="shared" si="12"/>
        <v>0</v>
      </c>
      <c r="H424" s="8"/>
      <c r="I424" s="8"/>
      <c r="J424" s="8"/>
      <c r="K424" s="13"/>
      <c r="L424" s="13"/>
      <c r="M424" s="7">
        <f t="shared" si="13"/>
        <v>0</v>
      </c>
      <c r="N424" s="7"/>
      <c r="O424" s="9"/>
    </row>
    <row r="425" spans="1:15" x14ac:dyDescent="0.25">
      <c r="A425" s="23" t="str">
        <f>IF(ISBLANK(D425),"",COUNTA($D$7:D425))</f>
        <v/>
      </c>
      <c r="B425" s="5"/>
      <c r="C425" s="6"/>
      <c r="D425" s="6"/>
      <c r="E425" s="13"/>
      <c r="F425" s="13"/>
      <c r="G425" s="7">
        <f t="shared" si="12"/>
        <v>0</v>
      </c>
      <c r="H425" s="8"/>
      <c r="I425" s="8"/>
      <c r="J425" s="8"/>
      <c r="K425" s="13"/>
      <c r="L425" s="13"/>
      <c r="M425" s="7">
        <f t="shared" si="13"/>
        <v>0</v>
      </c>
      <c r="N425" s="7"/>
      <c r="O425" s="9"/>
    </row>
    <row r="426" spans="1:15" x14ac:dyDescent="0.25">
      <c r="A426" s="23" t="str">
        <f>IF(ISBLANK(D426),"",COUNTA($D$7:D426))</f>
        <v/>
      </c>
      <c r="B426" s="5"/>
      <c r="C426" s="6"/>
      <c r="D426" s="6"/>
      <c r="E426" s="13"/>
      <c r="F426" s="13"/>
      <c r="G426" s="7">
        <f t="shared" si="12"/>
        <v>0</v>
      </c>
      <c r="H426" s="8"/>
      <c r="I426" s="8"/>
      <c r="J426" s="8"/>
      <c r="K426" s="13"/>
      <c r="L426" s="13"/>
      <c r="M426" s="7">
        <f t="shared" si="13"/>
        <v>0</v>
      </c>
      <c r="N426" s="7"/>
      <c r="O426" s="9"/>
    </row>
    <row r="427" spans="1:15" x14ac:dyDescent="0.25">
      <c r="A427" s="23" t="str">
        <f>IF(ISBLANK(D427),"",COUNTA($D$7:D427))</f>
        <v/>
      </c>
      <c r="B427" s="5"/>
      <c r="C427" s="6"/>
      <c r="D427" s="6"/>
      <c r="E427" s="13"/>
      <c r="F427" s="13"/>
      <c r="G427" s="7">
        <f t="shared" si="12"/>
        <v>0</v>
      </c>
      <c r="H427" s="8"/>
      <c r="I427" s="8"/>
      <c r="J427" s="8"/>
      <c r="K427" s="13"/>
      <c r="L427" s="13"/>
      <c r="M427" s="7">
        <f t="shared" si="13"/>
        <v>0</v>
      </c>
      <c r="N427" s="7"/>
      <c r="O427" s="9"/>
    </row>
    <row r="428" spans="1:15" x14ac:dyDescent="0.25">
      <c r="A428" s="23" t="str">
        <f>IF(ISBLANK(D428),"",COUNTA($D$7:D428))</f>
        <v/>
      </c>
      <c r="B428" s="5"/>
      <c r="C428" s="6"/>
      <c r="D428" s="6"/>
      <c r="E428" s="13"/>
      <c r="F428" s="13"/>
      <c r="G428" s="7">
        <f t="shared" si="12"/>
        <v>0</v>
      </c>
      <c r="H428" s="8"/>
      <c r="I428" s="8"/>
      <c r="J428" s="8"/>
      <c r="K428" s="13"/>
      <c r="L428" s="13"/>
      <c r="M428" s="7">
        <f t="shared" si="13"/>
        <v>0</v>
      </c>
      <c r="N428" s="7"/>
      <c r="O428" s="9"/>
    </row>
    <row r="429" spans="1:15" x14ac:dyDescent="0.25">
      <c r="A429" s="23" t="str">
        <f>IF(ISBLANK(D429),"",COUNTA($D$7:D429))</f>
        <v/>
      </c>
      <c r="B429" s="5"/>
      <c r="C429" s="6"/>
      <c r="D429" s="6"/>
      <c r="E429" s="13"/>
      <c r="F429" s="13"/>
      <c r="G429" s="7">
        <f t="shared" si="12"/>
        <v>0</v>
      </c>
      <c r="H429" s="8"/>
      <c r="I429" s="8"/>
      <c r="J429" s="8"/>
      <c r="K429" s="13"/>
      <c r="L429" s="13"/>
      <c r="M429" s="7">
        <f t="shared" si="13"/>
        <v>0</v>
      </c>
      <c r="N429" s="7"/>
      <c r="O429" s="9"/>
    </row>
    <row r="430" spans="1:15" x14ac:dyDescent="0.25">
      <c r="A430" s="23" t="str">
        <f>IF(ISBLANK(D430),"",COUNTA($D$7:D430))</f>
        <v/>
      </c>
      <c r="B430" s="5"/>
      <c r="C430" s="6"/>
      <c r="D430" s="6"/>
      <c r="E430" s="13"/>
      <c r="F430" s="13"/>
      <c r="G430" s="7">
        <f t="shared" si="12"/>
        <v>0</v>
      </c>
      <c r="H430" s="8"/>
      <c r="I430" s="8"/>
      <c r="J430" s="8"/>
      <c r="K430" s="13"/>
      <c r="L430" s="13"/>
      <c r="M430" s="7">
        <f t="shared" si="13"/>
        <v>0</v>
      </c>
      <c r="N430" s="7"/>
      <c r="O430" s="9"/>
    </row>
    <row r="431" spans="1:15" x14ac:dyDescent="0.25">
      <c r="A431" s="23" t="str">
        <f>IF(ISBLANK(D431),"",COUNTA($D$7:D431))</f>
        <v/>
      </c>
      <c r="B431" s="5"/>
      <c r="C431" s="6"/>
      <c r="D431" s="6"/>
      <c r="E431" s="13"/>
      <c r="F431" s="13"/>
      <c r="G431" s="7">
        <f t="shared" si="12"/>
        <v>0</v>
      </c>
      <c r="H431" s="8"/>
      <c r="I431" s="8"/>
      <c r="J431" s="8"/>
      <c r="K431" s="13"/>
      <c r="L431" s="13"/>
      <c r="M431" s="7">
        <f t="shared" si="13"/>
        <v>0</v>
      </c>
      <c r="N431" s="7"/>
      <c r="O431" s="9"/>
    </row>
    <row r="432" spans="1:15" x14ac:dyDescent="0.25">
      <c r="A432" s="23" t="str">
        <f>IF(ISBLANK(D432),"",COUNTA($D$7:D432))</f>
        <v/>
      </c>
      <c r="B432" s="5"/>
      <c r="C432" s="6"/>
      <c r="D432" s="6"/>
      <c r="E432" s="13"/>
      <c r="F432" s="13"/>
      <c r="G432" s="7">
        <f t="shared" si="12"/>
        <v>0</v>
      </c>
      <c r="H432" s="8"/>
      <c r="I432" s="8"/>
      <c r="J432" s="8"/>
      <c r="K432" s="13"/>
      <c r="L432" s="13"/>
      <c r="M432" s="7">
        <f t="shared" si="13"/>
        <v>0</v>
      </c>
      <c r="N432" s="7"/>
      <c r="O432" s="9"/>
    </row>
    <row r="433" spans="1:15" x14ac:dyDescent="0.25">
      <c r="A433" s="23" t="str">
        <f>IF(ISBLANK(D433),"",COUNTA($D$7:D433))</f>
        <v/>
      </c>
      <c r="B433" s="5"/>
      <c r="C433" s="6"/>
      <c r="D433" s="6"/>
      <c r="E433" s="13"/>
      <c r="F433" s="13"/>
      <c r="G433" s="7">
        <f t="shared" si="12"/>
        <v>0</v>
      </c>
      <c r="H433" s="8"/>
      <c r="I433" s="8"/>
      <c r="J433" s="8"/>
      <c r="K433" s="13"/>
      <c r="L433" s="13"/>
      <c r="M433" s="7">
        <f t="shared" si="13"/>
        <v>0</v>
      </c>
      <c r="N433" s="7"/>
      <c r="O433" s="9"/>
    </row>
    <row r="434" spans="1:15" x14ac:dyDescent="0.25">
      <c r="A434" s="23" t="str">
        <f>IF(ISBLANK(D434),"",COUNTA($D$7:D434))</f>
        <v/>
      </c>
      <c r="B434" s="5"/>
      <c r="C434" s="6"/>
      <c r="D434" s="6"/>
      <c r="E434" s="13"/>
      <c r="F434" s="13"/>
      <c r="G434" s="7">
        <f t="shared" si="12"/>
        <v>0</v>
      </c>
      <c r="H434" s="8"/>
      <c r="I434" s="8"/>
      <c r="J434" s="8"/>
      <c r="K434" s="13"/>
      <c r="L434" s="13"/>
      <c r="M434" s="7">
        <f t="shared" si="13"/>
        <v>0</v>
      </c>
      <c r="N434" s="7"/>
      <c r="O434" s="9"/>
    </row>
    <row r="435" spans="1:15" x14ac:dyDescent="0.25">
      <c r="A435" s="23" t="str">
        <f>IF(ISBLANK(D435),"",COUNTA($D$7:D435))</f>
        <v/>
      </c>
      <c r="B435" s="5"/>
      <c r="C435" s="6"/>
      <c r="D435" s="6"/>
      <c r="E435" s="13"/>
      <c r="F435" s="13"/>
      <c r="G435" s="7">
        <f t="shared" si="12"/>
        <v>0</v>
      </c>
      <c r="H435" s="8"/>
      <c r="I435" s="8"/>
      <c r="J435" s="8"/>
      <c r="K435" s="13"/>
      <c r="L435" s="13"/>
      <c r="M435" s="7">
        <f t="shared" si="13"/>
        <v>0</v>
      </c>
      <c r="N435" s="7"/>
      <c r="O435" s="9"/>
    </row>
    <row r="436" spans="1:15" x14ac:dyDescent="0.25">
      <c r="A436" s="23" t="str">
        <f>IF(ISBLANK(D436),"",COUNTA($D$7:D436))</f>
        <v/>
      </c>
      <c r="B436" s="5"/>
      <c r="C436" s="6"/>
      <c r="D436" s="6"/>
      <c r="E436" s="13"/>
      <c r="F436" s="13"/>
      <c r="G436" s="7">
        <f t="shared" si="12"/>
        <v>0</v>
      </c>
      <c r="H436" s="8"/>
      <c r="I436" s="8"/>
      <c r="J436" s="8"/>
      <c r="K436" s="13"/>
      <c r="L436" s="13"/>
      <c r="M436" s="7">
        <f t="shared" si="13"/>
        <v>0</v>
      </c>
      <c r="N436" s="7"/>
      <c r="O436" s="9"/>
    </row>
    <row r="437" spans="1:15" x14ac:dyDescent="0.25">
      <c r="A437" s="23" t="str">
        <f>IF(ISBLANK(D437),"",COUNTA($D$7:D437))</f>
        <v/>
      </c>
      <c r="B437" s="5"/>
      <c r="C437" s="6"/>
      <c r="D437" s="6"/>
      <c r="E437" s="13"/>
      <c r="F437" s="13"/>
      <c r="G437" s="7">
        <f t="shared" si="12"/>
        <v>0</v>
      </c>
      <c r="H437" s="8"/>
      <c r="I437" s="8"/>
      <c r="J437" s="8"/>
      <c r="K437" s="13"/>
      <c r="L437" s="13"/>
      <c r="M437" s="7">
        <f t="shared" si="13"/>
        <v>0</v>
      </c>
      <c r="N437" s="7"/>
      <c r="O437" s="9"/>
    </row>
    <row r="438" spans="1:15" x14ac:dyDescent="0.25">
      <c r="A438" s="23" t="str">
        <f>IF(ISBLANK(D438),"",COUNTA($D$7:D438))</f>
        <v/>
      </c>
      <c r="B438" s="5"/>
      <c r="C438" s="6"/>
      <c r="D438" s="6"/>
      <c r="E438" s="13"/>
      <c r="F438" s="13"/>
      <c r="G438" s="7">
        <f t="shared" si="12"/>
        <v>0</v>
      </c>
      <c r="H438" s="8"/>
      <c r="I438" s="8"/>
      <c r="J438" s="8"/>
      <c r="K438" s="13"/>
      <c r="L438" s="13"/>
      <c r="M438" s="7">
        <f t="shared" si="13"/>
        <v>0</v>
      </c>
      <c r="N438" s="7"/>
      <c r="O438" s="9"/>
    </row>
    <row r="439" spans="1:15" x14ac:dyDescent="0.25">
      <c r="A439" s="23" t="str">
        <f>IF(ISBLANK(D439),"",COUNTA($D$7:D439))</f>
        <v/>
      </c>
      <c r="B439" s="5"/>
      <c r="C439" s="6"/>
      <c r="D439" s="6"/>
      <c r="E439" s="13"/>
      <c r="F439" s="13"/>
      <c r="G439" s="7">
        <f t="shared" si="12"/>
        <v>0</v>
      </c>
      <c r="H439" s="8"/>
      <c r="I439" s="8"/>
      <c r="J439" s="8"/>
      <c r="K439" s="13"/>
      <c r="L439" s="13"/>
      <c r="M439" s="7">
        <f t="shared" si="13"/>
        <v>0</v>
      </c>
      <c r="N439" s="7"/>
      <c r="O439" s="9"/>
    </row>
    <row r="440" spans="1:15" x14ac:dyDescent="0.25">
      <c r="A440" s="23" t="str">
        <f>IF(ISBLANK(D440),"",COUNTA($D$7:D440))</f>
        <v/>
      </c>
      <c r="B440" s="5"/>
      <c r="C440" s="6"/>
      <c r="D440" s="6"/>
      <c r="E440" s="13"/>
      <c r="F440" s="13"/>
      <c r="G440" s="7">
        <f t="shared" si="12"/>
        <v>0</v>
      </c>
      <c r="H440" s="8"/>
      <c r="I440" s="8"/>
      <c r="J440" s="8"/>
      <c r="K440" s="13"/>
      <c r="L440" s="13"/>
      <c r="M440" s="7">
        <f t="shared" si="13"/>
        <v>0</v>
      </c>
      <c r="N440" s="7"/>
      <c r="O440" s="9"/>
    </row>
    <row r="441" spans="1:15" x14ac:dyDescent="0.25">
      <c r="A441" s="23" t="str">
        <f>IF(ISBLANK(D441),"",COUNTA($D$7:D441))</f>
        <v/>
      </c>
      <c r="B441" s="5"/>
      <c r="C441" s="6"/>
      <c r="D441" s="6"/>
      <c r="E441" s="13"/>
      <c r="F441" s="13"/>
      <c r="G441" s="7">
        <f t="shared" si="12"/>
        <v>0</v>
      </c>
      <c r="H441" s="8"/>
      <c r="I441" s="8"/>
      <c r="J441" s="8"/>
      <c r="K441" s="13"/>
      <c r="L441" s="13"/>
      <c r="M441" s="7">
        <f t="shared" si="13"/>
        <v>0</v>
      </c>
      <c r="N441" s="7"/>
      <c r="O441" s="9"/>
    </row>
    <row r="442" spans="1:15" x14ac:dyDescent="0.25">
      <c r="A442" s="23" t="str">
        <f>IF(ISBLANK(D442),"",COUNTA($D$7:D442))</f>
        <v/>
      </c>
      <c r="B442" s="5"/>
      <c r="C442" s="6"/>
      <c r="D442" s="6"/>
      <c r="E442" s="13"/>
      <c r="F442" s="13"/>
      <c r="G442" s="7">
        <f t="shared" si="12"/>
        <v>0</v>
      </c>
      <c r="H442" s="8"/>
      <c r="I442" s="8"/>
      <c r="J442" s="8"/>
      <c r="K442" s="13"/>
      <c r="L442" s="13"/>
      <c r="M442" s="7">
        <f t="shared" si="13"/>
        <v>0</v>
      </c>
      <c r="N442" s="7"/>
      <c r="O442" s="9"/>
    </row>
    <row r="443" spans="1:15" x14ac:dyDescent="0.25">
      <c r="A443" s="23" t="str">
        <f>IF(ISBLANK(D443),"",COUNTA($D$7:D443))</f>
        <v/>
      </c>
      <c r="B443" s="5"/>
      <c r="C443" s="6"/>
      <c r="D443" s="6"/>
      <c r="E443" s="13"/>
      <c r="F443" s="13"/>
      <c r="G443" s="7">
        <f t="shared" si="12"/>
        <v>0</v>
      </c>
      <c r="H443" s="8"/>
      <c r="I443" s="8"/>
      <c r="J443" s="8"/>
      <c r="K443" s="13"/>
      <c r="L443" s="13"/>
      <c r="M443" s="7">
        <f t="shared" si="13"/>
        <v>0</v>
      </c>
      <c r="N443" s="7"/>
      <c r="O443" s="9"/>
    </row>
    <row r="444" spans="1:15" x14ac:dyDescent="0.25">
      <c r="A444" s="23" t="str">
        <f>IF(ISBLANK(D444),"",COUNTA($D$7:D444))</f>
        <v/>
      </c>
      <c r="B444" s="5"/>
      <c r="C444" s="6"/>
      <c r="D444" s="6"/>
      <c r="E444" s="13"/>
      <c r="F444" s="13"/>
      <c r="G444" s="7">
        <f t="shared" si="12"/>
        <v>0</v>
      </c>
      <c r="H444" s="8"/>
      <c r="I444" s="8"/>
      <c r="J444" s="8"/>
      <c r="K444" s="13"/>
      <c r="L444" s="13"/>
      <c r="M444" s="7">
        <f t="shared" si="13"/>
        <v>0</v>
      </c>
      <c r="N444" s="7"/>
      <c r="O444" s="9"/>
    </row>
    <row r="445" spans="1:15" x14ac:dyDescent="0.25">
      <c r="A445" s="23" t="str">
        <f>IF(ISBLANK(D445),"",COUNTA($D$7:D445))</f>
        <v/>
      </c>
      <c r="B445" s="5"/>
      <c r="C445" s="6"/>
      <c r="D445" s="6"/>
      <c r="E445" s="13"/>
      <c r="F445" s="13"/>
      <c r="G445" s="7">
        <f t="shared" si="12"/>
        <v>0</v>
      </c>
      <c r="H445" s="8"/>
      <c r="I445" s="8"/>
      <c r="J445" s="8"/>
      <c r="K445" s="13"/>
      <c r="L445" s="13"/>
      <c r="M445" s="7">
        <f t="shared" si="13"/>
        <v>0</v>
      </c>
      <c r="N445" s="7"/>
      <c r="O445" s="9"/>
    </row>
    <row r="446" spans="1:15" x14ac:dyDescent="0.25">
      <c r="A446" s="23" t="str">
        <f>IF(ISBLANK(D446),"",COUNTA($D$7:D446))</f>
        <v/>
      </c>
      <c r="B446" s="5"/>
      <c r="C446" s="6"/>
      <c r="D446" s="6"/>
      <c r="E446" s="13"/>
      <c r="F446" s="13"/>
      <c r="G446" s="7">
        <f t="shared" si="12"/>
        <v>0</v>
      </c>
      <c r="H446" s="8"/>
      <c r="I446" s="8"/>
      <c r="J446" s="8"/>
      <c r="K446" s="13"/>
      <c r="L446" s="13"/>
      <c r="M446" s="7">
        <f t="shared" si="13"/>
        <v>0</v>
      </c>
      <c r="N446" s="7"/>
      <c r="O446" s="9"/>
    </row>
    <row r="447" spans="1:15" x14ac:dyDescent="0.25">
      <c r="A447" s="23" t="str">
        <f>IF(ISBLANK(D447),"",COUNTA($D$7:D447))</f>
        <v/>
      </c>
      <c r="B447" s="5"/>
      <c r="C447" s="6"/>
      <c r="D447" s="6"/>
      <c r="E447" s="13"/>
      <c r="F447" s="13"/>
      <c r="G447" s="7">
        <f t="shared" si="12"/>
        <v>0</v>
      </c>
      <c r="H447" s="8"/>
      <c r="I447" s="8"/>
      <c r="J447" s="8"/>
      <c r="K447" s="13"/>
      <c r="L447" s="13"/>
      <c r="M447" s="7">
        <f t="shared" si="13"/>
        <v>0</v>
      </c>
      <c r="N447" s="7"/>
      <c r="O447" s="9"/>
    </row>
    <row r="448" spans="1:15" x14ac:dyDescent="0.25">
      <c r="A448" s="23" t="str">
        <f>IF(ISBLANK(D448),"",COUNTA($D$7:D448))</f>
        <v/>
      </c>
      <c r="B448" s="5"/>
      <c r="C448" s="6"/>
      <c r="D448" s="6"/>
      <c r="E448" s="13"/>
      <c r="F448" s="13"/>
      <c r="G448" s="7">
        <f t="shared" si="12"/>
        <v>0</v>
      </c>
      <c r="H448" s="8"/>
      <c r="I448" s="8"/>
      <c r="J448" s="8"/>
      <c r="K448" s="13"/>
      <c r="L448" s="13"/>
      <c r="M448" s="7">
        <f t="shared" si="13"/>
        <v>0</v>
      </c>
      <c r="N448" s="7"/>
      <c r="O448" s="9"/>
    </row>
    <row r="449" spans="1:15" x14ac:dyDescent="0.25">
      <c r="A449" s="23" t="str">
        <f>IF(ISBLANK(D449),"",COUNTA($D$7:D449))</f>
        <v/>
      </c>
      <c r="B449" s="5"/>
      <c r="C449" s="6"/>
      <c r="D449" s="6"/>
      <c r="E449" s="13"/>
      <c r="F449" s="13"/>
      <c r="G449" s="7">
        <f t="shared" si="12"/>
        <v>0</v>
      </c>
      <c r="H449" s="8"/>
      <c r="I449" s="8"/>
      <c r="J449" s="8"/>
      <c r="K449" s="13"/>
      <c r="L449" s="13"/>
      <c r="M449" s="7">
        <f t="shared" si="13"/>
        <v>0</v>
      </c>
      <c r="N449" s="7"/>
      <c r="O449" s="9"/>
    </row>
    <row r="450" spans="1:15" x14ac:dyDescent="0.25">
      <c r="A450" s="23" t="str">
        <f>IF(ISBLANK(D450),"",COUNTA($D$7:D450))</f>
        <v/>
      </c>
      <c r="B450" s="5"/>
      <c r="C450" s="6"/>
      <c r="D450" s="6"/>
      <c r="E450" s="13"/>
      <c r="F450" s="13"/>
      <c r="G450" s="7">
        <f t="shared" si="12"/>
        <v>0</v>
      </c>
      <c r="H450" s="8"/>
      <c r="I450" s="8"/>
      <c r="J450" s="8"/>
      <c r="K450" s="13"/>
      <c r="L450" s="13"/>
      <c r="M450" s="7">
        <f t="shared" si="13"/>
        <v>0</v>
      </c>
      <c r="N450" s="7"/>
      <c r="O450" s="9"/>
    </row>
    <row r="451" spans="1:15" x14ac:dyDescent="0.25">
      <c r="A451" s="23" t="str">
        <f>IF(ISBLANK(D451),"",COUNTA($D$7:D451))</f>
        <v/>
      </c>
      <c r="B451" s="5"/>
      <c r="C451" s="6"/>
      <c r="D451" s="6"/>
      <c r="E451" s="13"/>
      <c r="F451" s="13"/>
      <c r="G451" s="7">
        <f t="shared" si="12"/>
        <v>0</v>
      </c>
      <c r="H451" s="8"/>
      <c r="I451" s="8"/>
      <c r="J451" s="8"/>
      <c r="K451" s="13"/>
      <c r="L451" s="13"/>
      <c r="M451" s="7">
        <f t="shared" si="13"/>
        <v>0</v>
      </c>
      <c r="N451" s="7"/>
      <c r="O451" s="9"/>
    </row>
    <row r="452" spans="1:15" x14ac:dyDescent="0.25">
      <c r="A452" s="23" t="str">
        <f>IF(ISBLANK(D452),"",COUNTA($D$7:D452))</f>
        <v/>
      </c>
      <c r="B452" s="5"/>
      <c r="C452" s="6"/>
      <c r="D452" s="6"/>
      <c r="E452" s="13"/>
      <c r="F452" s="13"/>
      <c r="G452" s="7">
        <f t="shared" si="12"/>
        <v>0</v>
      </c>
      <c r="H452" s="8"/>
      <c r="I452" s="8"/>
      <c r="J452" s="8"/>
      <c r="K452" s="13"/>
      <c r="L452" s="13"/>
      <c r="M452" s="7">
        <f t="shared" si="13"/>
        <v>0</v>
      </c>
      <c r="N452" s="7"/>
      <c r="O452" s="9"/>
    </row>
    <row r="453" spans="1:15" x14ac:dyDescent="0.25">
      <c r="A453" s="23" t="str">
        <f>IF(ISBLANK(D453),"",COUNTA($D$7:D453))</f>
        <v/>
      </c>
      <c r="B453" s="5"/>
      <c r="C453" s="6"/>
      <c r="D453" s="6"/>
      <c r="E453" s="13"/>
      <c r="F453" s="13"/>
      <c r="G453" s="7">
        <f t="shared" si="12"/>
        <v>0</v>
      </c>
      <c r="H453" s="8"/>
      <c r="I453" s="8"/>
      <c r="J453" s="8"/>
      <c r="K453" s="13"/>
      <c r="L453" s="13"/>
      <c r="M453" s="7">
        <f t="shared" si="13"/>
        <v>0</v>
      </c>
      <c r="N453" s="7"/>
      <c r="O453" s="9"/>
    </row>
    <row r="454" spans="1:15" x14ac:dyDescent="0.25">
      <c r="A454" s="23" t="str">
        <f>IF(ISBLANK(D454),"",COUNTA($D$7:D454))</f>
        <v/>
      </c>
      <c r="B454" s="5"/>
      <c r="C454" s="6"/>
      <c r="D454" s="6"/>
      <c r="E454" s="13"/>
      <c r="F454" s="13"/>
      <c r="G454" s="7">
        <f t="shared" si="12"/>
        <v>0</v>
      </c>
      <c r="H454" s="8"/>
      <c r="I454" s="8"/>
      <c r="J454" s="8"/>
      <c r="K454" s="13"/>
      <c r="L454" s="13"/>
      <c r="M454" s="7">
        <f t="shared" si="13"/>
        <v>0</v>
      </c>
      <c r="N454" s="7"/>
      <c r="O454" s="9"/>
    </row>
    <row r="455" spans="1:15" x14ac:dyDescent="0.25">
      <c r="A455" s="23" t="str">
        <f>IF(ISBLANK(D455),"",COUNTA($D$7:D455))</f>
        <v/>
      </c>
      <c r="B455" s="5"/>
      <c r="C455" s="6"/>
      <c r="D455" s="6"/>
      <c r="E455" s="13"/>
      <c r="F455" s="13"/>
      <c r="G455" s="7">
        <f t="shared" si="12"/>
        <v>0</v>
      </c>
      <c r="H455" s="8"/>
      <c r="I455" s="8"/>
      <c r="J455" s="8"/>
      <c r="K455" s="13"/>
      <c r="L455" s="13"/>
      <c r="M455" s="7">
        <f t="shared" si="13"/>
        <v>0</v>
      </c>
      <c r="N455" s="7"/>
      <c r="O455" s="9"/>
    </row>
    <row r="456" spans="1:15" x14ac:dyDescent="0.25">
      <c r="A456" s="23" t="str">
        <f>IF(ISBLANK(D456),"",COUNTA($D$7:D456))</f>
        <v/>
      </c>
      <c r="B456" s="5"/>
      <c r="C456" s="6"/>
      <c r="D456" s="6"/>
      <c r="E456" s="13"/>
      <c r="F456" s="13"/>
      <c r="G456" s="7">
        <f t="shared" ref="G456:G500" si="14">IF(AND(E456&lt;&gt;"",F456&lt;&gt;""),(VLOOKUP(E456,$AC$2:$AD$7,2,FALSE)*VLOOKUP(F456,$AE$2:$AF$6,2,FALSE)),0)</f>
        <v>0</v>
      </c>
      <c r="H456" s="8"/>
      <c r="I456" s="8"/>
      <c r="J456" s="8"/>
      <c r="K456" s="13"/>
      <c r="L456" s="13"/>
      <c r="M456" s="7">
        <f t="shared" ref="M456:M500" si="15">IF(C456="Opportunity",0.01,IF(AND(K456&lt;&gt;"",L456&lt;&gt;""),(VLOOKUP(K456,$AC$2:$AD$7,2,FALSE))*(VLOOKUP(L456,$AE$2:$AF$6,2,FALSE)),0))</f>
        <v>0</v>
      </c>
      <c r="N456" s="7"/>
      <c r="O456" s="9"/>
    </row>
    <row r="457" spans="1:15" x14ac:dyDescent="0.25">
      <c r="A457" s="23" t="str">
        <f>IF(ISBLANK(D457),"",COUNTA($D$7:D457))</f>
        <v/>
      </c>
      <c r="B457" s="5"/>
      <c r="C457" s="6"/>
      <c r="D457" s="6"/>
      <c r="E457" s="13"/>
      <c r="F457" s="13"/>
      <c r="G457" s="7">
        <f t="shared" si="14"/>
        <v>0</v>
      </c>
      <c r="H457" s="8"/>
      <c r="I457" s="8"/>
      <c r="J457" s="8"/>
      <c r="K457" s="13"/>
      <c r="L457" s="13"/>
      <c r="M457" s="7">
        <f t="shared" si="15"/>
        <v>0</v>
      </c>
      <c r="N457" s="7"/>
      <c r="O457" s="9"/>
    </row>
    <row r="458" spans="1:15" x14ac:dyDescent="0.25">
      <c r="A458" s="23" t="str">
        <f>IF(ISBLANK(D458),"",COUNTA($D$7:D458))</f>
        <v/>
      </c>
      <c r="B458" s="5"/>
      <c r="C458" s="6"/>
      <c r="D458" s="6"/>
      <c r="E458" s="13"/>
      <c r="F458" s="13"/>
      <c r="G458" s="7">
        <f t="shared" si="14"/>
        <v>0</v>
      </c>
      <c r="H458" s="8"/>
      <c r="I458" s="8"/>
      <c r="J458" s="8"/>
      <c r="K458" s="13"/>
      <c r="L458" s="13"/>
      <c r="M458" s="7">
        <f t="shared" si="15"/>
        <v>0</v>
      </c>
      <c r="N458" s="7"/>
      <c r="O458" s="9"/>
    </row>
    <row r="459" spans="1:15" x14ac:dyDescent="0.25">
      <c r="A459" s="23" t="str">
        <f>IF(ISBLANK(D459),"",COUNTA($D$7:D459))</f>
        <v/>
      </c>
      <c r="B459" s="5"/>
      <c r="C459" s="6"/>
      <c r="D459" s="6"/>
      <c r="E459" s="13"/>
      <c r="F459" s="13"/>
      <c r="G459" s="7">
        <f t="shared" si="14"/>
        <v>0</v>
      </c>
      <c r="H459" s="8"/>
      <c r="I459" s="8"/>
      <c r="J459" s="8"/>
      <c r="K459" s="13"/>
      <c r="L459" s="13"/>
      <c r="M459" s="7">
        <f t="shared" si="15"/>
        <v>0</v>
      </c>
      <c r="N459" s="7"/>
      <c r="O459" s="9"/>
    </row>
    <row r="460" spans="1:15" x14ac:dyDescent="0.25">
      <c r="A460" s="23" t="str">
        <f>IF(ISBLANK(D460),"",COUNTA($D$7:D460))</f>
        <v/>
      </c>
      <c r="B460" s="5"/>
      <c r="C460" s="6"/>
      <c r="D460" s="6"/>
      <c r="E460" s="13"/>
      <c r="F460" s="13"/>
      <c r="G460" s="7">
        <f t="shared" si="14"/>
        <v>0</v>
      </c>
      <c r="H460" s="8"/>
      <c r="I460" s="8"/>
      <c r="J460" s="8"/>
      <c r="K460" s="13"/>
      <c r="L460" s="13"/>
      <c r="M460" s="7">
        <f t="shared" si="15"/>
        <v>0</v>
      </c>
      <c r="N460" s="7"/>
      <c r="O460" s="9"/>
    </row>
    <row r="461" spans="1:15" x14ac:dyDescent="0.25">
      <c r="A461" s="23" t="str">
        <f>IF(ISBLANK(D461),"",COUNTA($D$7:D461))</f>
        <v/>
      </c>
      <c r="B461" s="5"/>
      <c r="C461" s="6"/>
      <c r="D461" s="6"/>
      <c r="E461" s="13"/>
      <c r="F461" s="13"/>
      <c r="G461" s="7">
        <f t="shared" si="14"/>
        <v>0</v>
      </c>
      <c r="H461" s="8"/>
      <c r="I461" s="8"/>
      <c r="J461" s="8"/>
      <c r="K461" s="13"/>
      <c r="L461" s="13"/>
      <c r="M461" s="7">
        <f t="shared" si="15"/>
        <v>0</v>
      </c>
      <c r="N461" s="7"/>
      <c r="O461" s="9"/>
    </row>
    <row r="462" spans="1:15" x14ac:dyDescent="0.25">
      <c r="A462" s="23" t="str">
        <f>IF(ISBLANK(D462),"",COUNTA($D$7:D462))</f>
        <v/>
      </c>
      <c r="B462" s="5"/>
      <c r="C462" s="6"/>
      <c r="D462" s="6"/>
      <c r="E462" s="13"/>
      <c r="F462" s="13"/>
      <c r="G462" s="7">
        <f t="shared" si="14"/>
        <v>0</v>
      </c>
      <c r="H462" s="8"/>
      <c r="I462" s="8"/>
      <c r="J462" s="8"/>
      <c r="K462" s="13"/>
      <c r="L462" s="13"/>
      <c r="M462" s="7">
        <f t="shared" si="15"/>
        <v>0</v>
      </c>
      <c r="N462" s="7"/>
      <c r="O462" s="9"/>
    </row>
    <row r="463" spans="1:15" x14ac:dyDescent="0.25">
      <c r="A463" s="23" t="str">
        <f>IF(ISBLANK(D463),"",COUNTA($D$7:D463))</f>
        <v/>
      </c>
      <c r="B463" s="5"/>
      <c r="C463" s="6"/>
      <c r="D463" s="6"/>
      <c r="E463" s="13"/>
      <c r="F463" s="13"/>
      <c r="G463" s="7">
        <f t="shared" si="14"/>
        <v>0</v>
      </c>
      <c r="H463" s="8"/>
      <c r="I463" s="8"/>
      <c r="J463" s="8"/>
      <c r="K463" s="13"/>
      <c r="L463" s="13"/>
      <c r="M463" s="7">
        <f t="shared" si="15"/>
        <v>0</v>
      </c>
      <c r="N463" s="7"/>
      <c r="O463" s="9"/>
    </row>
    <row r="464" spans="1:15" x14ac:dyDescent="0.25">
      <c r="A464" s="23" t="str">
        <f>IF(ISBLANK(D464),"",COUNTA($D$7:D464))</f>
        <v/>
      </c>
      <c r="B464" s="5"/>
      <c r="C464" s="6"/>
      <c r="D464" s="6"/>
      <c r="E464" s="13"/>
      <c r="F464" s="13"/>
      <c r="G464" s="7">
        <f t="shared" si="14"/>
        <v>0</v>
      </c>
      <c r="H464" s="8"/>
      <c r="I464" s="8"/>
      <c r="J464" s="8"/>
      <c r="K464" s="13"/>
      <c r="L464" s="13"/>
      <c r="M464" s="7">
        <f t="shared" si="15"/>
        <v>0</v>
      </c>
      <c r="N464" s="7"/>
      <c r="O464" s="9"/>
    </row>
    <row r="465" spans="1:15" x14ac:dyDescent="0.25">
      <c r="A465" s="23" t="str">
        <f>IF(ISBLANK(D465),"",COUNTA($D$7:D465))</f>
        <v/>
      </c>
      <c r="B465" s="5"/>
      <c r="C465" s="6"/>
      <c r="D465" s="6"/>
      <c r="E465" s="13"/>
      <c r="F465" s="13"/>
      <c r="G465" s="7">
        <f t="shared" si="14"/>
        <v>0</v>
      </c>
      <c r="H465" s="8"/>
      <c r="I465" s="8"/>
      <c r="J465" s="8"/>
      <c r="K465" s="13"/>
      <c r="L465" s="13"/>
      <c r="M465" s="7">
        <f t="shared" si="15"/>
        <v>0</v>
      </c>
      <c r="N465" s="7"/>
      <c r="O465" s="9"/>
    </row>
    <row r="466" spans="1:15" x14ac:dyDescent="0.25">
      <c r="A466" s="23" t="str">
        <f>IF(ISBLANK(D466),"",COUNTA($D$7:D466))</f>
        <v/>
      </c>
      <c r="B466" s="5"/>
      <c r="C466" s="6"/>
      <c r="D466" s="6"/>
      <c r="E466" s="13"/>
      <c r="F466" s="13"/>
      <c r="G466" s="7">
        <f t="shared" si="14"/>
        <v>0</v>
      </c>
      <c r="H466" s="8"/>
      <c r="I466" s="8"/>
      <c r="J466" s="8"/>
      <c r="K466" s="13"/>
      <c r="L466" s="13"/>
      <c r="M466" s="7">
        <f t="shared" si="15"/>
        <v>0</v>
      </c>
      <c r="N466" s="7"/>
      <c r="O466" s="9"/>
    </row>
    <row r="467" spans="1:15" x14ac:dyDescent="0.25">
      <c r="A467" s="23" t="str">
        <f>IF(ISBLANK(D467),"",COUNTA($D$7:D467))</f>
        <v/>
      </c>
      <c r="B467" s="5"/>
      <c r="C467" s="6"/>
      <c r="D467" s="6"/>
      <c r="E467" s="13"/>
      <c r="F467" s="13"/>
      <c r="G467" s="7">
        <f t="shared" si="14"/>
        <v>0</v>
      </c>
      <c r="H467" s="8"/>
      <c r="I467" s="8"/>
      <c r="J467" s="8"/>
      <c r="K467" s="13"/>
      <c r="L467" s="13"/>
      <c r="M467" s="7">
        <f t="shared" si="15"/>
        <v>0</v>
      </c>
      <c r="N467" s="7"/>
      <c r="O467" s="9"/>
    </row>
    <row r="468" spans="1:15" x14ac:dyDescent="0.25">
      <c r="A468" s="23" t="str">
        <f>IF(ISBLANK(D468),"",COUNTA($D$7:D468))</f>
        <v/>
      </c>
      <c r="B468" s="5"/>
      <c r="C468" s="6"/>
      <c r="D468" s="6"/>
      <c r="E468" s="13"/>
      <c r="F468" s="13"/>
      <c r="G468" s="7">
        <f t="shared" si="14"/>
        <v>0</v>
      </c>
      <c r="H468" s="8"/>
      <c r="I468" s="8"/>
      <c r="J468" s="8"/>
      <c r="K468" s="13"/>
      <c r="L468" s="13"/>
      <c r="M468" s="7">
        <f t="shared" si="15"/>
        <v>0</v>
      </c>
      <c r="N468" s="7"/>
      <c r="O468" s="9"/>
    </row>
    <row r="469" spans="1:15" x14ac:dyDescent="0.25">
      <c r="A469" s="23" t="str">
        <f>IF(ISBLANK(D469),"",COUNTA($D$7:D469))</f>
        <v/>
      </c>
      <c r="B469" s="5"/>
      <c r="C469" s="6"/>
      <c r="D469" s="6"/>
      <c r="E469" s="13"/>
      <c r="F469" s="13"/>
      <c r="G469" s="7">
        <f t="shared" si="14"/>
        <v>0</v>
      </c>
      <c r="H469" s="8"/>
      <c r="I469" s="8"/>
      <c r="J469" s="8"/>
      <c r="K469" s="13"/>
      <c r="L469" s="13"/>
      <c r="M469" s="7">
        <f t="shared" si="15"/>
        <v>0</v>
      </c>
      <c r="N469" s="7"/>
      <c r="O469" s="9"/>
    </row>
    <row r="470" spans="1:15" x14ac:dyDescent="0.25">
      <c r="A470" s="23" t="str">
        <f>IF(ISBLANK(D470),"",COUNTA($D$7:D470))</f>
        <v/>
      </c>
      <c r="B470" s="5"/>
      <c r="C470" s="6"/>
      <c r="D470" s="6"/>
      <c r="E470" s="13"/>
      <c r="F470" s="13"/>
      <c r="G470" s="7">
        <f t="shared" si="14"/>
        <v>0</v>
      </c>
      <c r="H470" s="8"/>
      <c r="I470" s="8"/>
      <c r="J470" s="8"/>
      <c r="K470" s="13"/>
      <c r="L470" s="13"/>
      <c r="M470" s="7">
        <f t="shared" si="15"/>
        <v>0</v>
      </c>
      <c r="N470" s="7"/>
      <c r="O470" s="9"/>
    </row>
    <row r="471" spans="1:15" x14ac:dyDescent="0.25">
      <c r="A471" s="23" t="str">
        <f>IF(ISBLANK(D471),"",COUNTA($D$7:D471))</f>
        <v/>
      </c>
      <c r="B471" s="5"/>
      <c r="C471" s="6"/>
      <c r="D471" s="6"/>
      <c r="E471" s="13"/>
      <c r="F471" s="13"/>
      <c r="G471" s="7">
        <f t="shared" si="14"/>
        <v>0</v>
      </c>
      <c r="H471" s="8"/>
      <c r="I471" s="8"/>
      <c r="J471" s="8"/>
      <c r="K471" s="13"/>
      <c r="L471" s="13"/>
      <c r="M471" s="7">
        <f t="shared" si="15"/>
        <v>0</v>
      </c>
      <c r="N471" s="7"/>
      <c r="O471" s="9"/>
    </row>
    <row r="472" spans="1:15" x14ac:dyDescent="0.25">
      <c r="A472" s="23" t="str">
        <f>IF(ISBLANK(D472),"",COUNTA($D$7:D472))</f>
        <v/>
      </c>
      <c r="B472" s="5"/>
      <c r="C472" s="6"/>
      <c r="D472" s="6"/>
      <c r="E472" s="13"/>
      <c r="F472" s="13"/>
      <c r="G472" s="7">
        <f t="shared" si="14"/>
        <v>0</v>
      </c>
      <c r="H472" s="8"/>
      <c r="I472" s="8"/>
      <c r="J472" s="8"/>
      <c r="K472" s="13"/>
      <c r="L472" s="13"/>
      <c r="M472" s="7">
        <f t="shared" si="15"/>
        <v>0</v>
      </c>
      <c r="N472" s="7"/>
      <c r="O472" s="9"/>
    </row>
    <row r="473" spans="1:15" x14ac:dyDescent="0.25">
      <c r="A473" s="23" t="str">
        <f>IF(ISBLANK(D473),"",COUNTA($D$7:D473))</f>
        <v/>
      </c>
      <c r="B473" s="5"/>
      <c r="C473" s="6"/>
      <c r="D473" s="6"/>
      <c r="E473" s="13"/>
      <c r="F473" s="13"/>
      <c r="G473" s="7">
        <f t="shared" si="14"/>
        <v>0</v>
      </c>
      <c r="H473" s="8"/>
      <c r="I473" s="8"/>
      <c r="J473" s="8"/>
      <c r="K473" s="13"/>
      <c r="L473" s="13"/>
      <c r="M473" s="7">
        <f t="shared" si="15"/>
        <v>0</v>
      </c>
      <c r="N473" s="7"/>
      <c r="O473" s="9"/>
    </row>
    <row r="474" spans="1:15" x14ac:dyDescent="0.25">
      <c r="A474" s="23" t="str">
        <f>IF(ISBLANK(D474),"",COUNTA($D$7:D474))</f>
        <v/>
      </c>
      <c r="B474" s="5"/>
      <c r="C474" s="6"/>
      <c r="D474" s="6"/>
      <c r="E474" s="13"/>
      <c r="F474" s="13"/>
      <c r="G474" s="7">
        <f t="shared" si="14"/>
        <v>0</v>
      </c>
      <c r="H474" s="8"/>
      <c r="I474" s="8"/>
      <c r="J474" s="8"/>
      <c r="K474" s="13"/>
      <c r="L474" s="13"/>
      <c r="M474" s="7">
        <f t="shared" si="15"/>
        <v>0</v>
      </c>
      <c r="N474" s="7"/>
      <c r="O474" s="9"/>
    </row>
    <row r="475" spans="1:15" x14ac:dyDescent="0.25">
      <c r="A475" s="23" t="str">
        <f>IF(ISBLANK(D475),"",COUNTA($D$7:D475))</f>
        <v/>
      </c>
      <c r="B475" s="5"/>
      <c r="C475" s="6"/>
      <c r="D475" s="6"/>
      <c r="E475" s="13"/>
      <c r="F475" s="13"/>
      <c r="G475" s="7">
        <f t="shared" si="14"/>
        <v>0</v>
      </c>
      <c r="H475" s="8"/>
      <c r="I475" s="8"/>
      <c r="J475" s="8"/>
      <c r="K475" s="13"/>
      <c r="L475" s="13"/>
      <c r="M475" s="7">
        <f t="shared" si="15"/>
        <v>0</v>
      </c>
      <c r="N475" s="7"/>
      <c r="O475" s="9"/>
    </row>
    <row r="476" spans="1:15" x14ac:dyDescent="0.25">
      <c r="A476" s="23" t="str">
        <f>IF(ISBLANK(D476),"",COUNTA($D$7:D476))</f>
        <v/>
      </c>
      <c r="B476" s="5"/>
      <c r="C476" s="6"/>
      <c r="D476" s="6"/>
      <c r="E476" s="13"/>
      <c r="F476" s="13"/>
      <c r="G476" s="7">
        <f t="shared" si="14"/>
        <v>0</v>
      </c>
      <c r="H476" s="8"/>
      <c r="I476" s="8"/>
      <c r="J476" s="8"/>
      <c r="K476" s="13"/>
      <c r="L476" s="13"/>
      <c r="M476" s="7">
        <f t="shared" si="15"/>
        <v>0</v>
      </c>
      <c r="N476" s="7"/>
      <c r="O476" s="9"/>
    </row>
    <row r="477" spans="1:15" x14ac:dyDescent="0.25">
      <c r="A477" s="23" t="str">
        <f>IF(ISBLANK(D477),"",COUNTA($D$7:D477))</f>
        <v/>
      </c>
      <c r="B477" s="5"/>
      <c r="C477" s="6"/>
      <c r="D477" s="6"/>
      <c r="E477" s="13"/>
      <c r="F477" s="13"/>
      <c r="G477" s="7">
        <f t="shared" si="14"/>
        <v>0</v>
      </c>
      <c r="H477" s="8"/>
      <c r="I477" s="8"/>
      <c r="J477" s="8"/>
      <c r="K477" s="13"/>
      <c r="L477" s="13"/>
      <c r="M477" s="7">
        <f t="shared" si="15"/>
        <v>0</v>
      </c>
      <c r="N477" s="7"/>
      <c r="O477" s="9"/>
    </row>
    <row r="478" spans="1:15" x14ac:dyDescent="0.25">
      <c r="A478" s="23" t="str">
        <f>IF(ISBLANK(D478),"",COUNTA($D$7:D478))</f>
        <v/>
      </c>
      <c r="B478" s="5"/>
      <c r="C478" s="6"/>
      <c r="D478" s="6"/>
      <c r="E478" s="13"/>
      <c r="F478" s="13"/>
      <c r="G478" s="7">
        <f t="shared" si="14"/>
        <v>0</v>
      </c>
      <c r="H478" s="8"/>
      <c r="I478" s="8"/>
      <c r="J478" s="8"/>
      <c r="K478" s="13"/>
      <c r="L478" s="13"/>
      <c r="M478" s="7">
        <f t="shared" si="15"/>
        <v>0</v>
      </c>
      <c r="N478" s="7"/>
      <c r="O478" s="9"/>
    </row>
    <row r="479" spans="1:15" x14ac:dyDescent="0.25">
      <c r="A479" s="23" t="str">
        <f>IF(ISBLANK(D479),"",COUNTA($D$7:D479))</f>
        <v/>
      </c>
      <c r="B479" s="5"/>
      <c r="C479" s="6"/>
      <c r="D479" s="6"/>
      <c r="E479" s="13"/>
      <c r="F479" s="13"/>
      <c r="G479" s="7">
        <f t="shared" si="14"/>
        <v>0</v>
      </c>
      <c r="H479" s="8"/>
      <c r="I479" s="8"/>
      <c r="J479" s="8"/>
      <c r="K479" s="13"/>
      <c r="L479" s="13"/>
      <c r="M479" s="7">
        <f t="shared" si="15"/>
        <v>0</v>
      </c>
      <c r="N479" s="7"/>
      <c r="O479" s="9"/>
    </row>
    <row r="480" spans="1:15" x14ac:dyDescent="0.25">
      <c r="A480" s="23" t="str">
        <f>IF(ISBLANK(D480),"",COUNTA($D$7:D480))</f>
        <v/>
      </c>
      <c r="B480" s="5"/>
      <c r="C480" s="6"/>
      <c r="D480" s="6"/>
      <c r="E480" s="13"/>
      <c r="F480" s="13"/>
      <c r="G480" s="7">
        <f t="shared" si="14"/>
        <v>0</v>
      </c>
      <c r="H480" s="8"/>
      <c r="I480" s="8"/>
      <c r="J480" s="8"/>
      <c r="K480" s="13"/>
      <c r="L480" s="13"/>
      <c r="M480" s="7">
        <f t="shared" si="15"/>
        <v>0</v>
      </c>
      <c r="N480" s="7"/>
      <c r="O480" s="9"/>
    </row>
    <row r="481" spans="1:15" x14ac:dyDescent="0.25">
      <c r="A481" s="23" t="str">
        <f>IF(ISBLANK(D481),"",COUNTA($D$7:D481))</f>
        <v/>
      </c>
      <c r="B481" s="5"/>
      <c r="C481" s="6"/>
      <c r="D481" s="6"/>
      <c r="E481" s="13"/>
      <c r="F481" s="13"/>
      <c r="G481" s="7">
        <f t="shared" si="14"/>
        <v>0</v>
      </c>
      <c r="H481" s="8"/>
      <c r="I481" s="8"/>
      <c r="J481" s="8"/>
      <c r="K481" s="13"/>
      <c r="L481" s="13"/>
      <c r="M481" s="7">
        <f t="shared" si="15"/>
        <v>0</v>
      </c>
      <c r="N481" s="7"/>
      <c r="O481" s="9"/>
    </row>
    <row r="482" spans="1:15" x14ac:dyDescent="0.25">
      <c r="A482" s="23" t="str">
        <f>IF(ISBLANK(D482),"",COUNTA($D$7:D482))</f>
        <v/>
      </c>
      <c r="B482" s="5"/>
      <c r="C482" s="6"/>
      <c r="D482" s="6"/>
      <c r="E482" s="13"/>
      <c r="F482" s="13"/>
      <c r="G482" s="7">
        <f t="shared" si="14"/>
        <v>0</v>
      </c>
      <c r="H482" s="8"/>
      <c r="I482" s="8"/>
      <c r="J482" s="8"/>
      <c r="K482" s="13"/>
      <c r="L482" s="13"/>
      <c r="M482" s="7">
        <f t="shared" si="15"/>
        <v>0</v>
      </c>
      <c r="N482" s="7"/>
      <c r="O482" s="9"/>
    </row>
    <row r="483" spans="1:15" x14ac:dyDescent="0.25">
      <c r="A483" s="23" t="str">
        <f>IF(ISBLANK(D483),"",COUNTA($D$7:D483))</f>
        <v/>
      </c>
      <c r="B483" s="5"/>
      <c r="C483" s="6"/>
      <c r="D483" s="6"/>
      <c r="E483" s="13"/>
      <c r="F483" s="13"/>
      <c r="G483" s="7">
        <f t="shared" si="14"/>
        <v>0</v>
      </c>
      <c r="H483" s="8"/>
      <c r="I483" s="8"/>
      <c r="J483" s="8"/>
      <c r="K483" s="13"/>
      <c r="L483" s="13"/>
      <c r="M483" s="7">
        <f t="shared" si="15"/>
        <v>0</v>
      </c>
      <c r="N483" s="7"/>
      <c r="O483" s="9"/>
    </row>
    <row r="484" spans="1:15" x14ac:dyDescent="0.25">
      <c r="A484" s="23" t="str">
        <f>IF(ISBLANK(D484),"",COUNTA($D$7:D484))</f>
        <v/>
      </c>
      <c r="B484" s="5"/>
      <c r="C484" s="6"/>
      <c r="D484" s="6"/>
      <c r="E484" s="13"/>
      <c r="F484" s="13"/>
      <c r="G484" s="7">
        <f t="shared" si="14"/>
        <v>0</v>
      </c>
      <c r="H484" s="8"/>
      <c r="I484" s="8"/>
      <c r="J484" s="8"/>
      <c r="K484" s="13"/>
      <c r="L484" s="13"/>
      <c r="M484" s="7">
        <f t="shared" si="15"/>
        <v>0</v>
      </c>
      <c r="N484" s="7"/>
      <c r="O484" s="9"/>
    </row>
    <row r="485" spans="1:15" x14ac:dyDescent="0.25">
      <c r="A485" s="23" t="str">
        <f>IF(ISBLANK(D485),"",COUNTA($D$7:D485))</f>
        <v/>
      </c>
      <c r="B485" s="5"/>
      <c r="C485" s="6"/>
      <c r="D485" s="6"/>
      <c r="E485" s="13"/>
      <c r="F485" s="13"/>
      <c r="G485" s="7">
        <f t="shared" si="14"/>
        <v>0</v>
      </c>
      <c r="H485" s="8"/>
      <c r="I485" s="8"/>
      <c r="J485" s="8"/>
      <c r="K485" s="13"/>
      <c r="L485" s="13"/>
      <c r="M485" s="7">
        <f t="shared" si="15"/>
        <v>0</v>
      </c>
      <c r="N485" s="7"/>
      <c r="O485" s="9"/>
    </row>
    <row r="486" spans="1:15" x14ac:dyDescent="0.25">
      <c r="A486" s="23" t="str">
        <f>IF(ISBLANK(D486),"",COUNTA($D$7:D486))</f>
        <v/>
      </c>
      <c r="B486" s="5"/>
      <c r="C486" s="6"/>
      <c r="D486" s="6"/>
      <c r="E486" s="13"/>
      <c r="F486" s="13"/>
      <c r="G486" s="7">
        <f t="shared" si="14"/>
        <v>0</v>
      </c>
      <c r="H486" s="8"/>
      <c r="I486" s="8"/>
      <c r="J486" s="8"/>
      <c r="K486" s="13"/>
      <c r="L486" s="13"/>
      <c r="M486" s="7">
        <f t="shared" si="15"/>
        <v>0</v>
      </c>
      <c r="N486" s="7"/>
      <c r="O486" s="9"/>
    </row>
    <row r="487" spans="1:15" x14ac:dyDescent="0.25">
      <c r="A487" s="23" t="str">
        <f>IF(ISBLANK(D487),"",COUNTA($D$7:D487))</f>
        <v/>
      </c>
      <c r="B487" s="5"/>
      <c r="C487" s="6"/>
      <c r="D487" s="6"/>
      <c r="E487" s="13"/>
      <c r="F487" s="13"/>
      <c r="G487" s="7">
        <f t="shared" si="14"/>
        <v>0</v>
      </c>
      <c r="H487" s="8"/>
      <c r="I487" s="8"/>
      <c r="J487" s="8"/>
      <c r="K487" s="13"/>
      <c r="L487" s="13"/>
      <c r="M487" s="7">
        <f t="shared" si="15"/>
        <v>0</v>
      </c>
      <c r="N487" s="7"/>
      <c r="O487" s="9"/>
    </row>
    <row r="488" spans="1:15" x14ac:dyDescent="0.25">
      <c r="A488" s="23" t="str">
        <f>IF(ISBLANK(D488),"",COUNTA($D$7:D488))</f>
        <v/>
      </c>
      <c r="B488" s="5"/>
      <c r="C488" s="6"/>
      <c r="D488" s="6"/>
      <c r="E488" s="13"/>
      <c r="F488" s="13"/>
      <c r="G488" s="7">
        <f t="shared" si="14"/>
        <v>0</v>
      </c>
      <c r="H488" s="8"/>
      <c r="I488" s="8"/>
      <c r="J488" s="8"/>
      <c r="K488" s="13"/>
      <c r="L488" s="13"/>
      <c r="M488" s="7">
        <f t="shared" si="15"/>
        <v>0</v>
      </c>
      <c r="N488" s="7"/>
      <c r="O488" s="9"/>
    </row>
    <row r="489" spans="1:15" x14ac:dyDescent="0.25">
      <c r="A489" s="23" t="str">
        <f>IF(ISBLANK(D489),"",COUNTA($D$7:D489))</f>
        <v/>
      </c>
      <c r="B489" s="5"/>
      <c r="C489" s="6"/>
      <c r="D489" s="6"/>
      <c r="E489" s="13"/>
      <c r="F489" s="13"/>
      <c r="G489" s="7">
        <f t="shared" si="14"/>
        <v>0</v>
      </c>
      <c r="H489" s="8"/>
      <c r="I489" s="8"/>
      <c r="J489" s="8"/>
      <c r="K489" s="13"/>
      <c r="L489" s="13"/>
      <c r="M489" s="7">
        <f t="shared" si="15"/>
        <v>0</v>
      </c>
      <c r="N489" s="7"/>
      <c r="O489" s="9"/>
    </row>
    <row r="490" spans="1:15" x14ac:dyDescent="0.25">
      <c r="A490" s="23" t="str">
        <f>IF(ISBLANK(D490),"",COUNTA($D$7:D490))</f>
        <v/>
      </c>
      <c r="B490" s="5"/>
      <c r="C490" s="6"/>
      <c r="D490" s="6"/>
      <c r="E490" s="13"/>
      <c r="F490" s="13"/>
      <c r="G490" s="7">
        <f t="shared" si="14"/>
        <v>0</v>
      </c>
      <c r="H490" s="8"/>
      <c r="I490" s="8"/>
      <c r="J490" s="8"/>
      <c r="K490" s="13"/>
      <c r="L490" s="13"/>
      <c r="M490" s="7">
        <f t="shared" si="15"/>
        <v>0</v>
      </c>
      <c r="N490" s="7"/>
      <c r="O490" s="9"/>
    </row>
    <row r="491" spans="1:15" x14ac:dyDescent="0.25">
      <c r="A491" s="23" t="str">
        <f>IF(ISBLANK(D491),"",COUNTA($D$7:D491))</f>
        <v/>
      </c>
      <c r="B491" s="5"/>
      <c r="C491" s="6"/>
      <c r="D491" s="6"/>
      <c r="E491" s="13"/>
      <c r="F491" s="13"/>
      <c r="G491" s="7">
        <f t="shared" si="14"/>
        <v>0</v>
      </c>
      <c r="H491" s="8"/>
      <c r="I491" s="8"/>
      <c r="J491" s="8"/>
      <c r="K491" s="13"/>
      <c r="L491" s="13"/>
      <c r="M491" s="7">
        <f t="shared" si="15"/>
        <v>0</v>
      </c>
      <c r="N491" s="7"/>
      <c r="O491" s="9"/>
    </row>
    <row r="492" spans="1:15" x14ac:dyDescent="0.25">
      <c r="A492" s="23" t="str">
        <f>IF(ISBLANK(D492),"",COUNTA($D$7:D492))</f>
        <v/>
      </c>
      <c r="B492" s="5"/>
      <c r="C492" s="6"/>
      <c r="D492" s="6"/>
      <c r="E492" s="13"/>
      <c r="F492" s="13"/>
      <c r="G492" s="7">
        <f t="shared" si="14"/>
        <v>0</v>
      </c>
      <c r="H492" s="8"/>
      <c r="I492" s="8"/>
      <c r="J492" s="8"/>
      <c r="K492" s="13"/>
      <c r="L492" s="13"/>
      <c r="M492" s="7">
        <f t="shared" si="15"/>
        <v>0</v>
      </c>
      <c r="N492" s="7"/>
      <c r="O492" s="9"/>
    </row>
    <row r="493" spans="1:15" x14ac:dyDescent="0.25">
      <c r="A493" s="23" t="str">
        <f>IF(ISBLANK(D493),"",COUNTA($D$7:D493))</f>
        <v/>
      </c>
      <c r="B493" s="5"/>
      <c r="C493" s="6"/>
      <c r="D493" s="6"/>
      <c r="E493" s="13"/>
      <c r="F493" s="13"/>
      <c r="G493" s="7">
        <f t="shared" si="14"/>
        <v>0</v>
      </c>
      <c r="H493" s="8"/>
      <c r="I493" s="8"/>
      <c r="J493" s="8"/>
      <c r="K493" s="13"/>
      <c r="L493" s="13"/>
      <c r="M493" s="7">
        <f t="shared" si="15"/>
        <v>0</v>
      </c>
      <c r="N493" s="7"/>
      <c r="O493" s="9"/>
    </row>
    <row r="494" spans="1:15" x14ac:dyDescent="0.25">
      <c r="A494" s="23" t="str">
        <f>IF(ISBLANK(D494),"",COUNTA($D$7:D494))</f>
        <v/>
      </c>
      <c r="B494" s="5"/>
      <c r="C494" s="6"/>
      <c r="D494" s="6"/>
      <c r="E494" s="13"/>
      <c r="F494" s="13"/>
      <c r="G494" s="7">
        <f t="shared" si="14"/>
        <v>0</v>
      </c>
      <c r="H494" s="8"/>
      <c r="I494" s="8"/>
      <c r="J494" s="8"/>
      <c r="K494" s="13"/>
      <c r="L494" s="13"/>
      <c r="M494" s="7">
        <f t="shared" si="15"/>
        <v>0</v>
      </c>
      <c r="N494" s="7"/>
      <c r="O494" s="9"/>
    </row>
    <row r="495" spans="1:15" x14ac:dyDescent="0.25">
      <c r="A495" s="23" t="str">
        <f>IF(ISBLANK(D495),"",COUNTA($D$7:D495))</f>
        <v/>
      </c>
      <c r="B495" s="5"/>
      <c r="C495" s="6"/>
      <c r="D495" s="6"/>
      <c r="E495" s="13"/>
      <c r="F495" s="13"/>
      <c r="G495" s="7">
        <f t="shared" si="14"/>
        <v>0</v>
      </c>
      <c r="H495" s="8"/>
      <c r="I495" s="8"/>
      <c r="J495" s="8"/>
      <c r="K495" s="13"/>
      <c r="L495" s="13"/>
      <c r="M495" s="7">
        <f t="shared" si="15"/>
        <v>0</v>
      </c>
      <c r="N495" s="7"/>
      <c r="O495" s="9"/>
    </row>
    <row r="496" spans="1:15" x14ac:dyDescent="0.25">
      <c r="A496" s="23" t="str">
        <f>IF(ISBLANK(D496),"",COUNTA($D$7:D496))</f>
        <v/>
      </c>
      <c r="B496" s="5"/>
      <c r="C496" s="6"/>
      <c r="D496" s="6"/>
      <c r="E496" s="13"/>
      <c r="F496" s="13"/>
      <c r="G496" s="7">
        <f t="shared" si="14"/>
        <v>0</v>
      </c>
      <c r="H496" s="8"/>
      <c r="I496" s="8"/>
      <c r="J496" s="8"/>
      <c r="K496" s="13"/>
      <c r="L496" s="13"/>
      <c r="M496" s="7">
        <f t="shared" si="15"/>
        <v>0</v>
      </c>
      <c r="N496" s="7"/>
      <c r="O496" s="9"/>
    </row>
    <row r="497" spans="1:15" x14ac:dyDescent="0.25">
      <c r="A497" s="23" t="str">
        <f>IF(ISBLANK(D497),"",COUNTA($D$7:D497))</f>
        <v/>
      </c>
      <c r="B497" s="5"/>
      <c r="C497" s="6"/>
      <c r="D497" s="6"/>
      <c r="E497" s="13"/>
      <c r="F497" s="13"/>
      <c r="G497" s="7">
        <f t="shared" si="14"/>
        <v>0</v>
      </c>
      <c r="H497" s="8"/>
      <c r="I497" s="8"/>
      <c r="J497" s="8"/>
      <c r="K497" s="13"/>
      <c r="L497" s="13"/>
      <c r="M497" s="7">
        <f t="shared" si="15"/>
        <v>0</v>
      </c>
      <c r="N497" s="7"/>
      <c r="O497" s="9"/>
    </row>
    <row r="498" spans="1:15" x14ac:dyDescent="0.25">
      <c r="A498" s="23" t="str">
        <f>IF(ISBLANK(D498),"",COUNTA($D$7:D498))</f>
        <v/>
      </c>
      <c r="B498" s="5"/>
      <c r="C498" s="6"/>
      <c r="D498" s="6"/>
      <c r="E498" s="13"/>
      <c r="F498" s="13"/>
      <c r="G498" s="7">
        <f t="shared" si="14"/>
        <v>0</v>
      </c>
      <c r="H498" s="8"/>
      <c r="I498" s="8"/>
      <c r="J498" s="8"/>
      <c r="K498" s="13"/>
      <c r="L498" s="13"/>
      <c r="M498" s="7">
        <f t="shared" si="15"/>
        <v>0</v>
      </c>
      <c r="N498" s="7"/>
      <c r="O498" s="9"/>
    </row>
    <row r="499" spans="1:15" x14ac:dyDescent="0.25">
      <c r="A499" s="23" t="str">
        <f>IF(ISBLANK(D499),"",COUNTA($D$7:D499))</f>
        <v/>
      </c>
      <c r="B499" s="5"/>
      <c r="C499" s="6"/>
      <c r="D499" s="6"/>
      <c r="E499" s="13"/>
      <c r="F499" s="13"/>
      <c r="G499" s="7">
        <f t="shared" si="14"/>
        <v>0</v>
      </c>
      <c r="H499" s="8"/>
      <c r="I499" s="8"/>
      <c r="J499" s="8"/>
      <c r="K499" s="13"/>
      <c r="L499" s="13"/>
      <c r="M499" s="7">
        <f t="shared" si="15"/>
        <v>0</v>
      </c>
      <c r="N499" s="7"/>
      <c r="O499" s="9"/>
    </row>
    <row r="500" spans="1:15" x14ac:dyDescent="0.25">
      <c r="A500" s="25" t="str">
        <f>IF(ISBLANK(D500),"",COUNTA($D$7:D500))</f>
        <v/>
      </c>
      <c r="B500" s="5"/>
      <c r="C500" s="6"/>
      <c r="D500" s="6"/>
      <c r="E500" s="13"/>
      <c r="F500" s="13"/>
      <c r="G500" s="14">
        <f t="shared" si="14"/>
        <v>0</v>
      </c>
      <c r="H500" s="8"/>
      <c r="I500" s="8"/>
      <c r="J500" s="8"/>
      <c r="K500" s="13"/>
      <c r="L500" s="13"/>
      <c r="M500" s="14">
        <f t="shared" si="15"/>
        <v>0</v>
      </c>
      <c r="N500" s="14"/>
      <c r="O500" s="9"/>
    </row>
    <row r="501" spans="1:15" x14ac:dyDescent="0.25">
      <c r="E501" s="26"/>
      <c r="F501" s="26"/>
      <c r="G501" s="26"/>
      <c r="K501" s="26"/>
      <c r="L501" s="26"/>
      <c r="M501" s="26"/>
      <c r="N501" s="26"/>
    </row>
    <row r="502" spans="1:15" x14ac:dyDescent="0.25">
      <c r="E502" s="26"/>
      <c r="F502" s="26"/>
      <c r="G502" s="26"/>
      <c r="K502" s="26"/>
      <c r="L502" s="26"/>
      <c r="M502" s="26"/>
      <c r="N502" s="26"/>
    </row>
    <row r="503" spans="1:15" x14ac:dyDescent="0.25">
      <c r="E503" s="26"/>
      <c r="F503" s="26"/>
      <c r="G503" s="26"/>
      <c r="K503" s="26"/>
      <c r="L503" s="26"/>
      <c r="M503" s="26"/>
      <c r="N503" s="26"/>
    </row>
    <row r="504" spans="1:15" x14ac:dyDescent="0.25">
      <c r="E504" s="26"/>
      <c r="F504" s="26"/>
      <c r="G504" s="26"/>
      <c r="K504" s="26"/>
      <c r="L504" s="26"/>
      <c r="M504" s="26"/>
      <c r="N504" s="26"/>
    </row>
    <row r="505" spans="1:15" x14ac:dyDescent="0.25">
      <c r="E505" s="26"/>
      <c r="F505" s="26"/>
      <c r="G505" s="26"/>
      <c r="K505" s="26"/>
      <c r="L505" s="26"/>
      <c r="M505" s="26"/>
      <c r="N505" s="26"/>
    </row>
    <row r="506" spans="1:15" x14ac:dyDescent="0.25">
      <c r="E506" s="26"/>
      <c r="F506" s="26"/>
      <c r="G506" s="26"/>
      <c r="K506" s="26"/>
      <c r="L506" s="26"/>
      <c r="M506" s="26"/>
      <c r="N506" s="26"/>
    </row>
    <row r="507" spans="1:15" x14ac:dyDescent="0.25">
      <c r="E507" s="26"/>
      <c r="F507" s="26"/>
      <c r="G507" s="26"/>
      <c r="K507" s="26"/>
      <c r="L507" s="26"/>
      <c r="M507" s="26"/>
      <c r="N507" s="26"/>
    </row>
    <row r="508" spans="1:15" x14ac:dyDescent="0.25">
      <c r="E508" s="26"/>
      <c r="F508" s="26"/>
      <c r="G508" s="26"/>
      <c r="K508" s="26"/>
      <c r="L508" s="26"/>
      <c r="M508" s="26"/>
      <c r="N508" s="26"/>
    </row>
    <row r="509" spans="1:15" x14ac:dyDescent="0.25">
      <c r="E509" s="26"/>
      <c r="F509" s="26"/>
      <c r="G509" s="26"/>
      <c r="K509" s="26"/>
      <c r="L509" s="26"/>
      <c r="M509" s="26"/>
      <c r="N509" s="26"/>
    </row>
    <row r="510" spans="1:15" x14ac:dyDescent="0.25">
      <c r="E510" s="26"/>
      <c r="F510" s="26"/>
      <c r="G510" s="26"/>
      <c r="K510" s="26"/>
      <c r="L510" s="26"/>
      <c r="M510" s="26"/>
      <c r="N510" s="26"/>
    </row>
    <row r="511" spans="1:15" x14ac:dyDescent="0.25">
      <c r="E511" s="26"/>
      <c r="F511" s="26"/>
      <c r="G511" s="26"/>
      <c r="K511" s="26"/>
      <c r="L511" s="26"/>
      <c r="M511" s="26"/>
      <c r="N511" s="26"/>
    </row>
    <row r="512" spans="1:15" x14ac:dyDescent="0.25">
      <c r="E512" s="26"/>
      <c r="F512" s="26"/>
      <c r="G512" s="26"/>
      <c r="K512" s="26"/>
      <c r="L512" s="26"/>
      <c r="M512" s="26"/>
      <c r="N512" s="26"/>
    </row>
    <row r="513" spans="5:14" x14ac:dyDescent="0.25">
      <c r="E513" s="26"/>
      <c r="F513" s="26"/>
      <c r="G513" s="26"/>
      <c r="K513" s="26"/>
      <c r="L513" s="26"/>
      <c r="M513" s="26"/>
      <c r="N513" s="26"/>
    </row>
    <row r="514" spans="5:14" x14ac:dyDescent="0.25">
      <c r="E514" s="26"/>
      <c r="F514" s="26"/>
      <c r="G514" s="26"/>
      <c r="K514" s="26"/>
      <c r="L514" s="26"/>
      <c r="M514" s="26"/>
      <c r="N514" s="26"/>
    </row>
    <row r="515" spans="5:14" x14ac:dyDescent="0.25">
      <c r="E515" s="26"/>
      <c r="F515" s="26"/>
      <c r="G515" s="26"/>
      <c r="K515" s="26"/>
      <c r="L515" s="26"/>
      <c r="M515" s="26"/>
      <c r="N515" s="26"/>
    </row>
    <row r="516" spans="5:14" x14ac:dyDescent="0.25">
      <c r="E516" s="26"/>
      <c r="F516" s="26"/>
      <c r="G516" s="26"/>
      <c r="K516" s="26"/>
      <c r="L516" s="26"/>
      <c r="M516" s="26"/>
      <c r="N516" s="26"/>
    </row>
    <row r="517" spans="5:14" x14ac:dyDescent="0.25">
      <c r="E517" s="26"/>
      <c r="F517" s="26"/>
      <c r="G517" s="26"/>
      <c r="K517" s="26"/>
      <c r="L517" s="26"/>
      <c r="M517" s="26"/>
      <c r="N517" s="26"/>
    </row>
    <row r="518" spans="5:14" x14ac:dyDescent="0.25">
      <c r="E518" s="26"/>
      <c r="F518" s="26"/>
      <c r="G518" s="26"/>
      <c r="K518" s="26"/>
      <c r="L518" s="26"/>
      <c r="M518" s="26"/>
      <c r="N518" s="26"/>
    </row>
    <row r="519" spans="5:14" x14ac:dyDescent="0.25">
      <c r="E519" s="26"/>
      <c r="F519" s="26"/>
      <c r="G519" s="26"/>
      <c r="K519" s="26"/>
      <c r="L519" s="26"/>
      <c r="M519" s="26"/>
      <c r="N519" s="26"/>
    </row>
    <row r="520" spans="5:14" x14ac:dyDescent="0.25">
      <c r="E520" s="26"/>
      <c r="F520" s="26"/>
      <c r="G520" s="26"/>
      <c r="K520" s="26"/>
      <c r="L520" s="26"/>
      <c r="M520" s="26"/>
      <c r="N520" s="26"/>
    </row>
    <row r="521" spans="5:14" x14ac:dyDescent="0.25">
      <c r="E521" s="26"/>
      <c r="F521" s="26"/>
      <c r="G521" s="26"/>
      <c r="K521" s="26"/>
      <c r="L521" s="26"/>
      <c r="M521" s="26"/>
      <c r="N521" s="26"/>
    </row>
    <row r="522" spans="5:14" x14ac:dyDescent="0.25">
      <c r="E522" s="26"/>
      <c r="F522" s="26"/>
      <c r="G522" s="26"/>
      <c r="K522" s="26"/>
      <c r="L522" s="26"/>
      <c r="M522" s="26"/>
      <c r="N522" s="26"/>
    </row>
    <row r="523" spans="5:14" x14ac:dyDescent="0.25">
      <c r="E523" s="26"/>
      <c r="F523" s="26"/>
      <c r="G523" s="26"/>
      <c r="K523" s="26"/>
      <c r="L523" s="26"/>
      <c r="M523" s="26"/>
      <c r="N523" s="26"/>
    </row>
    <row r="524" spans="5:14" x14ac:dyDescent="0.25">
      <c r="E524" s="26"/>
      <c r="F524" s="26"/>
      <c r="G524" s="26"/>
      <c r="K524" s="26"/>
      <c r="L524" s="26"/>
      <c r="M524" s="26"/>
      <c r="N524" s="26"/>
    </row>
    <row r="525" spans="5:14" x14ac:dyDescent="0.25">
      <c r="E525" s="26"/>
      <c r="F525" s="26"/>
      <c r="G525" s="26"/>
      <c r="K525" s="26"/>
      <c r="L525" s="26"/>
      <c r="M525" s="26"/>
      <c r="N525" s="26"/>
    </row>
    <row r="526" spans="5:14" x14ac:dyDescent="0.25">
      <c r="E526" s="26"/>
      <c r="F526" s="26"/>
      <c r="G526" s="26"/>
      <c r="K526" s="26"/>
      <c r="L526" s="26"/>
      <c r="M526" s="26"/>
      <c r="N526" s="26"/>
    </row>
    <row r="527" spans="5:14" x14ac:dyDescent="0.25">
      <c r="E527" s="26"/>
      <c r="F527" s="26"/>
      <c r="G527" s="26"/>
      <c r="K527" s="26"/>
      <c r="L527" s="26"/>
      <c r="M527" s="26"/>
      <c r="N527" s="26"/>
    </row>
    <row r="528" spans="5:14" x14ac:dyDescent="0.25">
      <c r="E528" s="26"/>
      <c r="F528" s="26"/>
      <c r="G528" s="26"/>
      <c r="K528" s="26"/>
      <c r="L528" s="26"/>
      <c r="M528" s="26"/>
      <c r="N528" s="26"/>
    </row>
    <row r="529" spans="5:14" x14ac:dyDescent="0.25">
      <c r="E529" s="26"/>
      <c r="F529" s="26"/>
      <c r="G529" s="26"/>
      <c r="K529" s="26"/>
      <c r="L529" s="26"/>
      <c r="M529" s="26"/>
      <c r="N529" s="26"/>
    </row>
    <row r="530" spans="5:14" x14ac:dyDescent="0.25">
      <c r="E530" s="26"/>
      <c r="F530" s="26"/>
      <c r="G530" s="26"/>
      <c r="K530" s="26"/>
      <c r="L530" s="26"/>
      <c r="M530" s="26"/>
      <c r="N530" s="26"/>
    </row>
    <row r="531" spans="5:14" x14ac:dyDescent="0.25">
      <c r="E531" s="26"/>
      <c r="F531" s="26"/>
      <c r="G531" s="26"/>
      <c r="K531" s="26"/>
      <c r="L531" s="26"/>
      <c r="M531" s="26"/>
      <c r="N531" s="26"/>
    </row>
    <row r="532" spans="5:14" x14ac:dyDescent="0.25">
      <c r="E532" s="26"/>
      <c r="F532" s="26"/>
      <c r="G532" s="26"/>
      <c r="K532" s="26"/>
      <c r="L532" s="26"/>
      <c r="M532" s="26"/>
      <c r="N532" s="26"/>
    </row>
    <row r="533" spans="5:14" x14ac:dyDescent="0.25">
      <c r="E533" s="26"/>
      <c r="F533" s="26"/>
      <c r="G533" s="26"/>
      <c r="K533" s="26"/>
      <c r="L533" s="26"/>
      <c r="M533" s="26"/>
      <c r="N533" s="26"/>
    </row>
    <row r="534" spans="5:14" x14ac:dyDescent="0.25">
      <c r="E534" s="26"/>
      <c r="F534" s="26"/>
      <c r="G534" s="26"/>
      <c r="K534" s="26"/>
      <c r="L534" s="26"/>
      <c r="M534" s="26"/>
      <c r="N534" s="26"/>
    </row>
    <row r="535" spans="5:14" x14ac:dyDescent="0.25">
      <c r="E535" s="26"/>
      <c r="F535" s="26"/>
      <c r="G535" s="26"/>
      <c r="K535" s="26"/>
      <c r="L535" s="26"/>
      <c r="M535" s="26"/>
      <c r="N535" s="26"/>
    </row>
    <row r="536" spans="5:14" x14ac:dyDescent="0.25">
      <c r="E536" s="26"/>
      <c r="F536" s="26"/>
      <c r="G536" s="26"/>
      <c r="K536" s="26"/>
      <c r="L536" s="26"/>
      <c r="M536" s="26"/>
      <c r="N536" s="26"/>
    </row>
    <row r="537" spans="5:14" x14ac:dyDescent="0.25">
      <c r="E537" s="26"/>
      <c r="F537" s="26"/>
      <c r="G537" s="26"/>
      <c r="K537" s="26"/>
      <c r="L537" s="26"/>
      <c r="M537" s="26"/>
      <c r="N537" s="26"/>
    </row>
    <row r="538" spans="5:14" x14ac:dyDescent="0.25">
      <c r="E538" s="26"/>
      <c r="F538" s="26"/>
      <c r="G538" s="26"/>
      <c r="K538" s="26"/>
      <c r="L538" s="26"/>
      <c r="M538" s="26"/>
      <c r="N538" s="26"/>
    </row>
    <row r="539" spans="5:14" x14ac:dyDescent="0.25">
      <c r="E539" s="26"/>
      <c r="F539" s="26"/>
      <c r="G539" s="26"/>
      <c r="K539" s="26"/>
      <c r="L539" s="26"/>
      <c r="M539" s="26"/>
      <c r="N539" s="26"/>
    </row>
    <row r="540" spans="5:14" x14ac:dyDescent="0.25">
      <c r="E540" s="26"/>
      <c r="F540" s="26"/>
      <c r="G540" s="26"/>
      <c r="K540" s="26"/>
      <c r="L540" s="26"/>
      <c r="M540" s="26"/>
      <c r="N540" s="26"/>
    </row>
    <row r="541" spans="5:14" x14ac:dyDescent="0.25">
      <c r="E541" s="26"/>
      <c r="F541" s="26"/>
      <c r="G541" s="26"/>
      <c r="K541" s="26"/>
      <c r="L541" s="26"/>
      <c r="M541" s="26"/>
      <c r="N541" s="26"/>
    </row>
    <row r="542" spans="5:14" x14ac:dyDescent="0.25">
      <c r="E542" s="26"/>
      <c r="F542" s="26"/>
      <c r="G542" s="26"/>
      <c r="K542" s="26"/>
      <c r="L542" s="26"/>
      <c r="M542" s="26"/>
      <c r="N542" s="26"/>
    </row>
    <row r="543" spans="5:14" x14ac:dyDescent="0.25">
      <c r="E543" s="26"/>
      <c r="F543" s="26"/>
      <c r="G543" s="26"/>
      <c r="K543" s="26"/>
      <c r="L543" s="26"/>
      <c r="M543" s="26"/>
      <c r="N543" s="26"/>
    </row>
    <row r="544" spans="5:14" x14ac:dyDescent="0.25">
      <c r="E544" s="26"/>
      <c r="F544" s="26"/>
      <c r="G544" s="26"/>
      <c r="K544" s="26"/>
      <c r="L544" s="26"/>
      <c r="M544" s="26"/>
      <c r="N544" s="26"/>
    </row>
    <row r="545" spans="5:14" x14ac:dyDescent="0.25">
      <c r="E545" s="26"/>
      <c r="F545" s="26"/>
      <c r="G545" s="26"/>
      <c r="K545" s="26"/>
      <c r="L545" s="26"/>
      <c r="M545" s="26"/>
      <c r="N545" s="26"/>
    </row>
    <row r="546" spans="5:14" x14ac:dyDescent="0.25">
      <c r="E546" s="26"/>
      <c r="F546" s="26"/>
      <c r="G546" s="26"/>
      <c r="K546" s="26"/>
      <c r="L546" s="26"/>
      <c r="M546" s="26"/>
      <c r="N546" s="26"/>
    </row>
    <row r="547" spans="5:14" x14ac:dyDescent="0.25">
      <c r="E547" s="26"/>
      <c r="F547" s="26"/>
      <c r="G547" s="26"/>
      <c r="K547" s="26"/>
      <c r="L547" s="26"/>
      <c r="M547" s="26"/>
      <c r="N547" s="26"/>
    </row>
    <row r="548" spans="5:14" x14ac:dyDescent="0.25">
      <c r="E548" s="26"/>
      <c r="F548" s="26"/>
      <c r="G548" s="26"/>
      <c r="K548" s="26"/>
      <c r="L548" s="26"/>
      <c r="M548" s="26"/>
      <c r="N548" s="26"/>
    </row>
    <row r="549" spans="5:14" x14ac:dyDescent="0.25">
      <c r="E549" s="26"/>
      <c r="F549" s="26"/>
      <c r="G549" s="26"/>
      <c r="K549" s="26"/>
      <c r="L549" s="26"/>
      <c r="M549" s="26"/>
      <c r="N549" s="26"/>
    </row>
    <row r="550" spans="5:14" x14ac:dyDescent="0.25">
      <c r="E550" s="26"/>
      <c r="F550" s="26"/>
      <c r="G550" s="26"/>
      <c r="K550" s="26"/>
      <c r="L550" s="26"/>
      <c r="M550" s="26"/>
      <c r="N550" s="26"/>
    </row>
    <row r="551" spans="5:14" x14ac:dyDescent="0.25">
      <c r="E551" s="26"/>
      <c r="F551" s="26"/>
      <c r="G551" s="26"/>
      <c r="K551" s="26"/>
      <c r="L551" s="26"/>
      <c r="M551" s="26"/>
      <c r="N551" s="26"/>
    </row>
    <row r="552" spans="5:14" x14ac:dyDescent="0.25">
      <c r="E552" s="26"/>
      <c r="F552" s="26"/>
      <c r="G552" s="26"/>
      <c r="K552" s="26"/>
      <c r="L552" s="26"/>
      <c r="M552" s="26"/>
      <c r="N552" s="26"/>
    </row>
    <row r="553" spans="5:14" x14ac:dyDescent="0.25">
      <c r="E553" s="26"/>
      <c r="F553" s="26"/>
      <c r="G553" s="26"/>
      <c r="K553" s="26"/>
      <c r="L553" s="26"/>
      <c r="M553" s="26"/>
      <c r="N553" s="26"/>
    </row>
    <row r="554" spans="5:14" x14ac:dyDescent="0.25">
      <c r="E554" s="26"/>
      <c r="F554" s="26"/>
      <c r="G554" s="26"/>
      <c r="K554" s="26"/>
      <c r="L554" s="26"/>
      <c r="M554" s="26"/>
      <c r="N554" s="26"/>
    </row>
    <row r="555" spans="5:14" x14ac:dyDescent="0.25">
      <c r="E555" s="26"/>
      <c r="F555" s="26"/>
      <c r="G555" s="26"/>
      <c r="K555" s="26"/>
      <c r="L555" s="26"/>
      <c r="M555" s="26"/>
      <c r="N555" s="26"/>
    </row>
    <row r="556" spans="5:14" x14ac:dyDescent="0.25">
      <c r="E556" s="26"/>
      <c r="F556" s="26"/>
      <c r="G556" s="26"/>
      <c r="K556" s="26"/>
      <c r="L556" s="26"/>
      <c r="M556" s="26"/>
      <c r="N556" s="26"/>
    </row>
    <row r="557" spans="5:14" x14ac:dyDescent="0.25">
      <c r="E557" s="26"/>
      <c r="F557" s="26"/>
      <c r="G557" s="26"/>
      <c r="K557" s="26"/>
      <c r="L557" s="26"/>
      <c r="M557" s="26"/>
      <c r="N557" s="26"/>
    </row>
    <row r="558" spans="5:14" x14ac:dyDescent="0.25">
      <c r="E558" s="26"/>
      <c r="F558" s="26"/>
      <c r="G558" s="26"/>
      <c r="K558" s="26"/>
      <c r="L558" s="26"/>
      <c r="M558" s="26"/>
      <c r="N558" s="26"/>
    </row>
    <row r="559" spans="5:14" x14ac:dyDescent="0.25">
      <c r="E559" s="26"/>
      <c r="F559" s="26"/>
      <c r="G559" s="26"/>
      <c r="K559" s="26"/>
      <c r="L559" s="26"/>
      <c r="M559" s="26"/>
      <c r="N559" s="26"/>
    </row>
    <row r="560" spans="5:14" x14ac:dyDescent="0.25">
      <c r="E560" s="26"/>
      <c r="F560" s="26"/>
      <c r="G560" s="26"/>
      <c r="K560" s="26"/>
      <c r="L560" s="26"/>
      <c r="M560" s="26"/>
      <c r="N560" s="26"/>
    </row>
    <row r="561" spans="5:14" x14ac:dyDescent="0.25">
      <c r="E561" s="26"/>
      <c r="F561" s="26"/>
      <c r="G561" s="26"/>
      <c r="K561" s="26"/>
      <c r="L561" s="26"/>
      <c r="M561" s="26"/>
      <c r="N561" s="26"/>
    </row>
    <row r="562" spans="5:14" x14ac:dyDescent="0.25">
      <c r="E562" s="26"/>
      <c r="F562" s="26"/>
      <c r="G562" s="26"/>
      <c r="K562" s="26"/>
      <c r="L562" s="26"/>
      <c r="M562" s="26"/>
      <c r="N562" s="26"/>
    </row>
    <row r="563" spans="5:14" x14ac:dyDescent="0.25">
      <c r="E563" s="26"/>
      <c r="F563" s="26"/>
      <c r="G563" s="26"/>
      <c r="K563" s="26"/>
      <c r="L563" s="26"/>
      <c r="M563" s="26"/>
      <c r="N563" s="26"/>
    </row>
    <row r="564" spans="5:14" x14ac:dyDescent="0.25">
      <c r="E564" s="26"/>
      <c r="F564" s="26"/>
      <c r="G564" s="26"/>
      <c r="K564" s="26"/>
      <c r="L564" s="26"/>
      <c r="M564" s="26"/>
      <c r="N564" s="26"/>
    </row>
    <row r="565" spans="5:14" x14ac:dyDescent="0.25">
      <c r="E565" s="26"/>
      <c r="F565" s="26"/>
      <c r="G565" s="26"/>
      <c r="K565" s="26"/>
      <c r="L565" s="26"/>
      <c r="M565" s="26"/>
      <c r="N565" s="26"/>
    </row>
    <row r="566" spans="5:14" x14ac:dyDescent="0.25">
      <c r="E566" s="26"/>
      <c r="F566" s="26"/>
      <c r="G566" s="26"/>
      <c r="K566" s="26"/>
      <c r="L566" s="26"/>
      <c r="M566" s="26"/>
      <c r="N566" s="26"/>
    </row>
    <row r="567" spans="5:14" x14ac:dyDescent="0.25">
      <c r="E567" s="26"/>
      <c r="F567" s="26"/>
      <c r="G567" s="26"/>
      <c r="K567" s="26"/>
      <c r="L567" s="26"/>
      <c r="M567" s="26"/>
      <c r="N567" s="26"/>
    </row>
    <row r="568" spans="5:14" x14ac:dyDescent="0.25">
      <c r="E568" s="26"/>
      <c r="F568" s="26"/>
      <c r="G568" s="26"/>
      <c r="K568" s="26"/>
      <c r="L568" s="26"/>
      <c r="M568" s="26"/>
      <c r="N568" s="26"/>
    </row>
    <row r="569" spans="5:14" x14ac:dyDescent="0.25">
      <c r="E569" s="26"/>
      <c r="F569" s="26"/>
      <c r="G569" s="26"/>
      <c r="K569" s="26"/>
      <c r="L569" s="26"/>
      <c r="M569" s="26"/>
      <c r="N569" s="26"/>
    </row>
    <row r="570" spans="5:14" x14ac:dyDescent="0.25">
      <c r="E570" s="26"/>
      <c r="F570" s="26"/>
      <c r="G570" s="26"/>
      <c r="K570" s="26"/>
      <c r="L570" s="26"/>
      <c r="M570" s="26"/>
      <c r="N570" s="26"/>
    </row>
    <row r="571" spans="5:14" x14ac:dyDescent="0.25">
      <c r="E571" s="26"/>
      <c r="F571" s="26"/>
      <c r="G571" s="26"/>
      <c r="K571" s="26"/>
      <c r="L571" s="26"/>
      <c r="M571" s="26"/>
      <c r="N571" s="26"/>
    </row>
    <row r="572" spans="5:14" x14ac:dyDescent="0.25">
      <c r="E572" s="26"/>
      <c r="F572" s="26"/>
      <c r="G572" s="26"/>
      <c r="K572" s="26"/>
      <c r="L572" s="26"/>
      <c r="M572" s="26"/>
      <c r="N572" s="26"/>
    </row>
    <row r="573" spans="5:14" x14ac:dyDescent="0.25">
      <c r="E573" s="26"/>
      <c r="F573" s="26"/>
      <c r="G573" s="26"/>
      <c r="K573" s="26"/>
      <c r="L573" s="26"/>
      <c r="M573" s="26"/>
      <c r="N573" s="26"/>
    </row>
    <row r="574" spans="5:14" x14ac:dyDescent="0.25">
      <c r="E574" s="26"/>
      <c r="F574" s="26"/>
      <c r="G574" s="26"/>
      <c r="K574" s="26"/>
      <c r="L574" s="26"/>
      <c r="M574" s="26"/>
      <c r="N574" s="26"/>
    </row>
    <row r="575" spans="5:14" x14ac:dyDescent="0.25">
      <c r="E575" s="26"/>
      <c r="F575" s="26"/>
      <c r="G575" s="26"/>
      <c r="K575" s="26"/>
      <c r="L575" s="26"/>
      <c r="M575" s="26"/>
      <c r="N575" s="26"/>
    </row>
    <row r="576" spans="5:14" x14ac:dyDescent="0.25">
      <c r="E576" s="26"/>
      <c r="F576" s="26"/>
      <c r="G576" s="26"/>
      <c r="K576" s="26"/>
      <c r="L576" s="26"/>
      <c r="M576" s="26"/>
      <c r="N576" s="26"/>
    </row>
    <row r="577" spans="5:14" x14ac:dyDescent="0.25">
      <c r="E577" s="26"/>
      <c r="F577" s="26"/>
      <c r="G577" s="26"/>
      <c r="K577" s="26"/>
      <c r="L577" s="26"/>
      <c r="M577" s="26"/>
      <c r="N577" s="26"/>
    </row>
    <row r="578" spans="5:14" x14ac:dyDescent="0.25">
      <c r="E578" s="26"/>
      <c r="F578" s="26"/>
      <c r="G578" s="26"/>
      <c r="K578" s="26"/>
      <c r="L578" s="26"/>
      <c r="M578" s="26"/>
      <c r="N578" s="26"/>
    </row>
    <row r="579" spans="5:14" x14ac:dyDescent="0.25">
      <c r="E579" s="26"/>
      <c r="F579" s="26"/>
      <c r="G579" s="26"/>
      <c r="K579" s="26"/>
      <c r="L579" s="26"/>
      <c r="M579" s="26"/>
      <c r="N579" s="26"/>
    </row>
    <row r="580" spans="5:14" x14ac:dyDescent="0.25">
      <c r="E580" s="26"/>
      <c r="F580" s="26"/>
      <c r="G580" s="26"/>
      <c r="K580" s="26"/>
      <c r="L580" s="26"/>
      <c r="M580" s="26"/>
      <c r="N580" s="26"/>
    </row>
    <row r="581" spans="5:14" x14ac:dyDescent="0.25">
      <c r="E581" s="26"/>
      <c r="F581" s="26"/>
      <c r="G581" s="26"/>
      <c r="K581" s="26"/>
      <c r="L581" s="26"/>
      <c r="M581" s="26"/>
      <c r="N581" s="26"/>
    </row>
    <row r="582" spans="5:14" x14ac:dyDescent="0.25">
      <c r="E582" s="26"/>
      <c r="F582" s="26"/>
      <c r="G582" s="26"/>
      <c r="K582" s="26"/>
      <c r="L582" s="26"/>
      <c r="M582" s="26"/>
      <c r="N582" s="26"/>
    </row>
    <row r="583" spans="5:14" x14ac:dyDescent="0.25">
      <c r="E583" s="26"/>
      <c r="F583" s="26"/>
      <c r="G583" s="26"/>
      <c r="K583" s="26"/>
      <c r="L583" s="26"/>
      <c r="M583" s="26"/>
      <c r="N583" s="26"/>
    </row>
    <row r="584" spans="5:14" x14ac:dyDescent="0.25">
      <c r="E584" s="26"/>
      <c r="F584" s="26"/>
      <c r="G584" s="26"/>
      <c r="K584" s="26"/>
      <c r="L584" s="26"/>
      <c r="M584" s="26"/>
      <c r="N584" s="26"/>
    </row>
    <row r="585" spans="5:14" x14ac:dyDescent="0.25">
      <c r="E585" s="26"/>
      <c r="F585" s="26"/>
      <c r="G585" s="26"/>
      <c r="K585" s="26"/>
      <c r="L585" s="26"/>
      <c r="M585" s="26"/>
      <c r="N585" s="26"/>
    </row>
    <row r="586" spans="5:14" x14ac:dyDescent="0.25">
      <c r="E586" s="26"/>
      <c r="F586" s="26"/>
      <c r="G586" s="26"/>
      <c r="K586" s="26"/>
      <c r="L586" s="26"/>
      <c r="M586" s="26"/>
      <c r="N586" s="26"/>
    </row>
    <row r="587" spans="5:14" x14ac:dyDescent="0.25">
      <c r="E587" s="26"/>
      <c r="F587" s="26"/>
      <c r="G587" s="26"/>
      <c r="K587" s="26"/>
      <c r="L587" s="26"/>
      <c r="M587" s="26"/>
      <c r="N587" s="26"/>
    </row>
    <row r="588" spans="5:14" x14ac:dyDescent="0.25">
      <c r="E588" s="26"/>
      <c r="F588" s="26"/>
      <c r="G588" s="26"/>
      <c r="K588" s="26"/>
      <c r="L588" s="26"/>
      <c r="M588" s="26"/>
      <c r="N588" s="26"/>
    </row>
    <row r="589" spans="5:14" x14ac:dyDescent="0.25">
      <c r="E589" s="26"/>
      <c r="F589" s="26"/>
      <c r="G589" s="26"/>
      <c r="K589" s="26"/>
      <c r="L589" s="26"/>
      <c r="M589" s="26"/>
      <c r="N589" s="26"/>
    </row>
    <row r="590" spans="5:14" x14ac:dyDescent="0.25">
      <c r="E590" s="26"/>
      <c r="F590" s="26"/>
      <c r="G590" s="26"/>
      <c r="K590" s="26"/>
      <c r="L590" s="26"/>
      <c r="M590" s="26"/>
      <c r="N590" s="26"/>
    </row>
    <row r="591" spans="5:14" x14ac:dyDescent="0.25">
      <c r="E591" s="26"/>
      <c r="F591" s="26"/>
      <c r="G591" s="26"/>
      <c r="K591" s="26"/>
      <c r="L591" s="26"/>
      <c r="M591" s="26"/>
      <c r="N591" s="26"/>
    </row>
    <row r="592" spans="5:14" x14ac:dyDescent="0.25">
      <c r="E592" s="26"/>
      <c r="F592" s="26"/>
      <c r="G592" s="26"/>
      <c r="K592" s="26"/>
      <c r="L592" s="26"/>
      <c r="M592" s="26"/>
      <c r="N592" s="26"/>
    </row>
    <row r="593" spans="5:14" x14ac:dyDescent="0.25">
      <c r="E593" s="26"/>
      <c r="F593" s="26"/>
      <c r="G593" s="26"/>
      <c r="K593" s="26"/>
      <c r="L593" s="26"/>
      <c r="M593" s="26"/>
      <c r="N593" s="26"/>
    </row>
    <row r="594" spans="5:14" x14ac:dyDescent="0.25">
      <c r="E594" s="26"/>
      <c r="F594" s="26"/>
      <c r="G594" s="26"/>
      <c r="K594" s="26"/>
      <c r="L594" s="26"/>
      <c r="M594" s="26"/>
      <c r="N594" s="26"/>
    </row>
    <row r="595" spans="5:14" x14ac:dyDescent="0.25">
      <c r="E595" s="26"/>
      <c r="F595" s="26"/>
      <c r="G595" s="26"/>
      <c r="K595" s="26"/>
      <c r="L595" s="26"/>
      <c r="M595" s="26"/>
      <c r="N595" s="26"/>
    </row>
    <row r="596" spans="5:14" x14ac:dyDescent="0.25">
      <c r="E596" s="26"/>
      <c r="F596" s="26"/>
      <c r="G596" s="26"/>
      <c r="K596" s="26"/>
      <c r="L596" s="26"/>
      <c r="M596" s="26"/>
      <c r="N596" s="26"/>
    </row>
    <row r="597" spans="5:14" x14ac:dyDescent="0.25">
      <c r="E597" s="26"/>
      <c r="F597" s="26"/>
      <c r="G597" s="26"/>
      <c r="K597" s="26"/>
      <c r="L597" s="26"/>
      <c r="M597" s="26"/>
      <c r="N597" s="26"/>
    </row>
    <row r="598" spans="5:14" x14ac:dyDescent="0.25">
      <c r="E598" s="26"/>
      <c r="F598" s="26"/>
      <c r="G598" s="26"/>
      <c r="K598" s="26"/>
      <c r="L598" s="26"/>
      <c r="M598" s="26"/>
      <c r="N598" s="26"/>
    </row>
    <row r="599" spans="5:14" x14ac:dyDescent="0.25">
      <c r="E599" s="26"/>
      <c r="F599" s="26"/>
      <c r="G599" s="26"/>
      <c r="K599" s="26"/>
      <c r="L599" s="26"/>
      <c r="M599" s="26"/>
      <c r="N599" s="26"/>
    </row>
    <row r="600" spans="5:14" x14ac:dyDescent="0.25">
      <c r="E600" s="26"/>
      <c r="F600" s="26"/>
      <c r="G600" s="26"/>
      <c r="K600" s="26"/>
      <c r="L600" s="26"/>
      <c r="M600" s="26"/>
      <c r="N600" s="26"/>
    </row>
    <row r="601" spans="5:14" x14ac:dyDescent="0.25">
      <c r="E601" s="26"/>
      <c r="F601" s="26"/>
      <c r="G601" s="26"/>
      <c r="K601" s="26"/>
      <c r="L601" s="26"/>
      <c r="M601" s="26"/>
      <c r="N601" s="26"/>
    </row>
    <row r="602" spans="5:14" x14ac:dyDescent="0.25">
      <c r="E602" s="26"/>
      <c r="F602" s="26"/>
      <c r="G602" s="26"/>
      <c r="K602" s="26"/>
      <c r="L602" s="26"/>
      <c r="M602" s="26"/>
      <c r="N602" s="26"/>
    </row>
    <row r="603" spans="5:14" x14ac:dyDescent="0.25">
      <c r="E603" s="26"/>
      <c r="F603" s="26"/>
      <c r="G603" s="26"/>
      <c r="K603" s="26"/>
      <c r="L603" s="26"/>
      <c r="M603" s="26"/>
      <c r="N603" s="26"/>
    </row>
    <row r="604" spans="5:14" x14ac:dyDescent="0.25">
      <c r="E604" s="26"/>
      <c r="F604" s="26"/>
      <c r="G604" s="26"/>
      <c r="K604" s="26"/>
      <c r="L604" s="26"/>
      <c r="M604" s="26"/>
      <c r="N604" s="26"/>
    </row>
    <row r="605" spans="5:14" x14ac:dyDescent="0.25">
      <c r="E605" s="26"/>
      <c r="F605" s="26"/>
      <c r="G605" s="26"/>
      <c r="K605" s="26"/>
      <c r="L605" s="26"/>
      <c r="M605" s="26"/>
      <c r="N605" s="26"/>
    </row>
    <row r="606" spans="5:14" x14ac:dyDescent="0.25">
      <c r="E606" s="26"/>
      <c r="F606" s="26"/>
      <c r="G606" s="26"/>
      <c r="K606" s="26"/>
      <c r="L606" s="26"/>
      <c r="M606" s="26"/>
      <c r="N606" s="26"/>
    </row>
    <row r="607" spans="5:14" x14ac:dyDescent="0.25">
      <c r="E607" s="26"/>
      <c r="F607" s="26"/>
      <c r="G607" s="26"/>
      <c r="K607" s="26"/>
      <c r="L607" s="26"/>
      <c r="M607" s="26"/>
      <c r="N607" s="26"/>
    </row>
    <row r="608" spans="5:14" x14ac:dyDescent="0.25">
      <c r="E608" s="26"/>
      <c r="F608" s="26"/>
      <c r="G608" s="26"/>
      <c r="K608" s="26"/>
      <c r="L608" s="26"/>
      <c r="M608" s="26"/>
      <c r="N608" s="26"/>
    </row>
    <row r="609" spans="5:14" x14ac:dyDescent="0.25">
      <c r="E609" s="26"/>
      <c r="F609" s="26"/>
      <c r="G609" s="26"/>
      <c r="K609" s="26"/>
      <c r="L609" s="26"/>
      <c r="M609" s="26"/>
      <c r="N609" s="26"/>
    </row>
    <row r="610" spans="5:14" x14ac:dyDescent="0.25">
      <c r="E610" s="26"/>
      <c r="F610" s="26"/>
      <c r="G610" s="26"/>
      <c r="K610" s="26"/>
      <c r="L610" s="26"/>
      <c r="M610" s="26"/>
      <c r="N610" s="26"/>
    </row>
    <row r="611" spans="5:14" x14ac:dyDescent="0.25">
      <c r="E611" s="26"/>
      <c r="F611" s="26"/>
      <c r="G611" s="26"/>
      <c r="K611" s="26"/>
      <c r="L611" s="26"/>
      <c r="M611" s="26"/>
      <c r="N611" s="26"/>
    </row>
    <row r="612" spans="5:14" x14ac:dyDescent="0.25">
      <c r="E612" s="26"/>
      <c r="F612" s="26"/>
      <c r="G612" s="26"/>
      <c r="K612" s="26"/>
      <c r="L612" s="26"/>
      <c r="M612" s="26"/>
      <c r="N612" s="26"/>
    </row>
    <row r="613" spans="5:14" x14ac:dyDescent="0.25">
      <c r="E613" s="26"/>
      <c r="F613" s="26"/>
      <c r="G613" s="26"/>
      <c r="K613" s="26"/>
      <c r="L613" s="26"/>
      <c r="M613" s="26"/>
      <c r="N613" s="26"/>
    </row>
    <row r="614" spans="5:14" x14ac:dyDescent="0.25">
      <c r="E614" s="26"/>
      <c r="F614" s="26"/>
      <c r="G614" s="26"/>
      <c r="K614" s="26"/>
      <c r="L614" s="26"/>
      <c r="M614" s="26"/>
      <c r="N614" s="26"/>
    </row>
    <row r="615" spans="5:14" x14ac:dyDescent="0.25">
      <c r="E615" s="26"/>
      <c r="F615" s="26"/>
      <c r="G615" s="26"/>
      <c r="K615" s="26"/>
      <c r="L615" s="26"/>
      <c r="M615" s="26"/>
      <c r="N615" s="26"/>
    </row>
    <row r="616" spans="5:14" x14ac:dyDescent="0.25">
      <c r="E616" s="26"/>
      <c r="F616" s="26"/>
      <c r="G616" s="26"/>
      <c r="K616" s="26"/>
      <c r="L616" s="26"/>
      <c r="M616" s="26"/>
      <c r="N616" s="26"/>
    </row>
    <row r="617" spans="5:14" x14ac:dyDescent="0.25">
      <c r="E617" s="26"/>
      <c r="F617" s="26"/>
      <c r="G617" s="26"/>
      <c r="K617" s="26"/>
      <c r="L617" s="26"/>
      <c r="M617" s="26"/>
      <c r="N617" s="26"/>
    </row>
    <row r="618" spans="5:14" x14ac:dyDescent="0.25">
      <c r="E618" s="26"/>
      <c r="F618" s="26"/>
      <c r="G618" s="26"/>
      <c r="K618" s="26"/>
      <c r="L618" s="26"/>
      <c r="M618" s="26"/>
      <c r="N618" s="26"/>
    </row>
    <row r="619" spans="5:14" x14ac:dyDescent="0.25">
      <c r="E619" s="26"/>
      <c r="F619" s="26"/>
      <c r="G619" s="26"/>
      <c r="K619" s="26"/>
      <c r="L619" s="26"/>
      <c r="M619" s="26"/>
      <c r="N619" s="26"/>
    </row>
    <row r="620" spans="5:14" x14ac:dyDescent="0.25">
      <c r="E620" s="26"/>
      <c r="F620" s="26"/>
      <c r="G620" s="26"/>
      <c r="K620" s="26"/>
      <c r="L620" s="26"/>
      <c r="M620" s="26"/>
      <c r="N620" s="26"/>
    </row>
    <row r="621" spans="5:14" x14ac:dyDescent="0.25">
      <c r="E621" s="26"/>
      <c r="F621" s="26"/>
      <c r="G621" s="26"/>
      <c r="K621" s="26"/>
      <c r="L621" s="26"/>
      <c r="M621" s="26"/>
      <c r="N621" s="26"/>
    </row>
    <row r="622" spans="5:14" x14ac:dyDescent="0.25">
      <c r="E622" s="26"/>
      <c r="F622" s="26"/>
      <c r="G622" s="26"/>
      <c r="K622" s="26"/>
      <c r="L622" s="26"/>
      <c r="M622" s="26"/>
      <c r="N622" s="26"/>
    </row>
    <row r="623" spans="5:14" x14ac:dyDescent="0.25">
      <c r="E623" s="26"/>
      <c r="F623" s="26"/>
      <c r="G623" s="26"/>
      <c r="K623" s="26"/>
      <c r="L623" s="26"/>
      <c r="M623" s="26"/>
      <c r="N623" s="26"/>
    </row>
    <row r="624" spans="5:14" x14ac:dyDescent="0.25">
      <c r="E624" s="26"/>
      <c r="F624" s="26"/>
      <c r="G624" s="26"/>
      <c r="K624" s="26"/>
      <c r="L624" s="26"/>
      <c r="M624" s="26"/>
      <c r="N624" s="26"/>
    </row>
    <row r="625" spans="5:14" x14ac:dyDescent="0.25">
      <c r="E625" s="26"/>
      <c r="F625" s="26"/>
      <c r="G625" s="26"/>
      <c r="K625" s="26"/>
      <c r="L625" s="26"/>
      <c r="M625" s="26"/>
      <c r="N625" s="26"/>
    </row>
    <row r="626" spans="5:14" x14ac:dyDescent="0.25">
      <c r="E626" s="26"/>
      <c r="F626" s="26"/>
      <c r="G626" s="26"/>
      <c r="K626" s="26"/>
      <c r="L626" s="26"/>
      <c r="M626" s="26"/>
      <c r="N626" s="26"/>
    </row>
    <row r="627" spans="5:14" x14ac:dyDescent="0.25">
      <c r="E627" s="26"/>
      <c r="F627" s="26"/>
      <c r="G627" s="26"/>
      <c r="K627" s="26"/>
      <c r="L627" s="26"/>
      <c r="M627" s="26"/>
      <c r="N627" s="26"/>
    </row>
    <row r="628" spans="5:14" x14ac:dyDescent="0.25">
      <c r="E628" s="26"/>
      <c r="F628" s="26"/>
      <c r="G628" s="26"/>
      <c r="K628" s="26"/>
      <c r="L628" s="26"/>
      <c r="M628" s="26"/>
      <c r="N628" s="26"/>
    </row>
    <row r="629" spans="5:14" x14ac:dyDescent="0.25">
      <c r="E629" s="26"/>
      <c r="F629" s="26"/>
      <c r="G629" s="26"/>
      <c r="K629" s="26"/>
      <c r="L629" s="26"/>
      <c r="M629" s="26"/>
      <c r="N629" s="26"/>
    </row>
    <row r="630" spans="5:14" x14ac:dyDescent="0.25">
      <c r="E630" s="26"/>
      <c r="F630" s="26"/>
      <c r="G630" s="26"/>
      <c r="K630" s="26"/>
      <c r="L630" s="26"/>
      <c r="M630" s="26"/>
      <c r="N630" s="26"/>
    </row>
    <row r="631" spans="5:14" x14ac:dyDescent="0.25">
      <c r="E631" s="26"/>
      <c r="F631" s="26"/>
      <c r="G631" s="26"/>
      <c r="K631" s="26"/>
      <c r="L631" s="26"/>
      <c r="M631" s="26"/>
      <c r="N631" s="26"/>
    </row>
    <row r="632" spans="5:14" x14ac:dyDescent="0.25">
      <c r="E632" s="26"/>
      <c r="F632" s="26"/>
      <c r="G632" s="26"/>
      <c r="K632" s="26"/>
      <c r="L632" s="26"/>
      <c r="M632" s="26"/>
      <c r="N632" s="26"/>
    </row>
    <row r="633" spans="5:14" x14ac:dyDescent="0.25">
      <c r="E633" s="26"/>
      <c r="F633" s="26"/>
      <c r="G633" s="26"/>
      <c r="K633" s="26"/>
      <c r="L633" s="26"/>
      <c r="M633" s="26"/>
      <c r="N633" s="26"/>
    </row>
    <row r="634" spans="5:14" x14ac:dyDescent="0.25">
      <c r="E634" s="26"/>
      <c r="F634" s="26"/>
      <c r="G634" s="26"/>
      <c r="K634" s="26"/>
      <c r="L634" s="26"/>
      <c r="M634" s="26"/>
      <c r="N634" s="26"/>
    </row>
    <row r="635" spans="5:14" x14ac:dyDescent="0.25">
      <c r="E635" s="26"/>
      <c r="F635" s="26"/>
      <c r="G635" s="26"/>
      <c r="K635" s="26"/>
      <c r="L635" s="26"/>
      <c r="M635" s="26"/>
      <c r="N635" s="26"/>
    </row>
    <row r="636" spans="5:14" x14ac:dyDescent="0.25">
      <c r="E636" s="26"/>
      <c r="F636" s="26"/>
      <c r="G636" s="26"/>
      <c r="K636" s="26"/>
      <c r="L636" s="26"/>
      <c r="M636" s="26"/>
      <c r="N636" s="26"/>
    </row>
    <row r="637" spans="5:14" x14ac:dyDescent="0.25">
      <c r="E637" s="26"/>
      <c r="F637" s="26"/>
      <c r="G637" s="26"/>
      <c r="K637" s="26"/>
      <c r="L637" s="26"/>
      <c r="M637" s="26"/>
      <c r="N637" s="26"/>
    </row>
    <row r="638" spans="5:14" x14ac:dyDescent="0.25">
      <c r="E638" s="26"/>
      <c r="F638" s="26"/>
      <c r="G638" s="26"/>
      <c r="K638" s="26"/>
      <c r="L638" s="26"/>
      <c r="M638" s="26"/>
      <c r="N638" s="26"/>
    </row>
    <row r="639" spans="5:14" x14ac:dyDescent="0.25">
      <c r="E639" s="26"/>
      <c r="F639" s="26"/>
      <c r="G639" s="26"/>
      <c r="K639" s="26"/>
      <c r="L639" s="26"/>
      <c r="M639" s="26"/>
      <c r="N639" s="26"/>
    </row>
    <row r="640" spans="5:14" x14ac:dyDescent="0.25">
      <c r="E640" s="26"/>
      <c r="F640" s="26"/>
      <c r="G640" s="26"/>
      <c r="K640" s="26"/>
      <c r="L640" s="26"/>
      <c r="M640" s="26"/>
      <c r="N640" s="26"/>
    </row>
    <row r="641" spans="5:14" x14ac:dyDescent="0.25">
      <c r="E641" s="26"/>
      <c r="F641" s="26"/>
      <c r="G641" s="26"/>
      <c r="K641" s="26"/>
      <c r="L641" s="26"/>
      <c r="M641" s="26"/>
      <c r="N641" s="26"/>
    </row>
    <row r="642" spans="5:14" x14ac:dyDescent="0.25">
      <c r="E642" s="26"/>
      <c r="F642" s="26"/>
      <c r="G642" s="26"/>
      <c r="K642" s="26"/>
      <c r="L642" s="26"/>
      <c r="M642" s="26"/>
      <c r="N642" s="26"/>
    </row>
    <row r="643" spans="5:14" x14ac:dyDescent="0.25">
      <c r="E643" s="26"/>
      <c r="F643" s="26"/>
      <c r="G643" s="26"/>
      <c r="K643" s="26"/>
      <c r="L643" s="26"/>
      <c r="M643" s="26"/>
      <c r="N643" s="26"/>
    </row>
    <row r="644" spans="5:14" x14ac:dyDescent="0.25">
      <c r="E644" s="26"/>
      <c r="F644" s="26"/>
      <c r="G644" s="26"/>
      <c r="K644" s="26"/>
      <c r="L644" s="26"/>
      <c r="M644" s="26"/>
      <c r="N644" s="26"/>
    </row>
    <row r="645" spans="5:14" x14ac:dyDescent="0.25">
      <c r="E645" s="26"/>
      <c r="F645" s="26"/>
      <c r="G645" s="26"/>
      <c r="K645" s="26"/>
      <c r="L645" s="26"/>
      <c r="M645" s="26"/>
      <c r="N645" s="26"/>
    </row>
    <row r="646" spans="5:14" x14ac:dyDescent="0.25">
      <c r="E646" s="26"/>
      <c r="F646" s="26"/>
      <c r="G646" s="26"/>
      <c r="K646" s="26"/>
      <c r="L646" s="26"/>
      <c r="M646" s="26"/>
      <c r="N646" s="26"/>
    </row>
    <row r="647" spans="5:14" x14ac:dyDescent="0.25">
      <c r="E647" s="26"/>
      <c r="F647" s="26"/>
      <c r="G647" s="26"/>
      <c r="K647" s="26"/>
      <c r="L647" s="26"/>
      <c r="M647" s="26"/>
      <c r="N647" s="26"/>
    </row>
    <row r="648" spans="5:14" x14ac:dyDescent="0.25">
      <c r="E648" s="26"/>
      <c r="F648" s="26"/>
      <c r="G648" s="26"/>
      <c r="K648" s="26"/>
      <c r="L648" s="26"/>
      <c r="M648" s="26"/>
      <c r="N648" s="26"/>
    </row>
    <row r="649" spans="5:14" x14ac:dyDescent="0.25">
      <c r="E649" s="26"/>
      <c r="F649" s="26"/>
      <c r="G649" s="26"/>
      <c r="K649" s="26"/>
      <c r="L649" s="26"/>
      <c r="M649" s="26"/>
      <c r="N649" s="26"/>
    </row>
    <row r="650" spans="5:14" x14ac:dyDescent="0.25">
      <c r="E650" s="26"/>
      <c r="F650" s="26"/>
      <c r="G650" s="26"/>
      <c r="K650" s="26"/>
      <c r="L650" s="26"/>
      <c r="M650" s="26"/>
      <c r="N650" s="26"/>
    </row>
    <row r="651" spans="5:14" x14ac:dyDescent="0.25">
      <c r="E651" s="26"/>
      <c r="F651" s="26"/>
      <c r="G651" s="26"/>
      <c r="K651" s="26"/>
      <c r="L651" s="26"/>
      <c r="M651" s="26"/>
      <c r="N651" s="26"/>
    </row>
    <row r="652" spans="5:14" x14ac:dyDescent="0.25">
      <c r="E652" s="26"/>
      <c r="F652" s="26"/>
      <c r="G652" s="26"/>
      <c r="K652" s="26"/>
      <c r="L652" s="26"/>
      <c r="M652" s="26"/>
      <c r="N652" s="26"/>
    </row>
    <row r="653" spans="5:14" x14ac:dyDescent="0.25">
      <c r="E653" s="26"/>
      <c r="F653" s="26"/>
      <c r="G653" s="26"/>
      <c r="K653" s="26"/>
      <c r="L653" s="26"/>
      <c r="M653" s="26"/>
      <c r="N653" s="26"/>
    </row>
    <row r="654" spans="5:14" x14ac:dyDescent="0.25">
      <c r="E654" s="26"/>
      <c r="F654" s="26"/>
      <c r="G654" s="26"/>
      <c r="K654" s="26"/>
      <c r="L654" s="26"/>
      <c r="M654" s="26"/>
      <c r="N654" s="26"/>
    </row>
    <row r="655" spans="5:14" x14ac:dyDescent="0.25">
      <c r="E655" s="26"/>
      <c r="F655" s="26"/>
      <c r="G655" s="26"/>
      <c r="K655" s="26"/>
      <c r="L655" s="26"/>
      <c r="M655" s="26"/>
      <c r="N655" s="26"/>
    </row>
    <row r="656" spans="5:14" x14ac:dyDescent="0.25">
      <c r="E656" s="26"/>
      <c r="F656" s="26"/>
      <c r="G656" s="26"/>
      <c r="K656" s="26"/>
      <c r="L656" s="26"/>
      <c r="M656" s="26"/>
      <c r="N656" s="26"/>
    </row>
    <row r="657" spans="5:14" x14ac:dyDescent="0.25">
      <c r="E657" s="26"/>
      <c r="F657" s="26"/>
      <c r="G657" s="26"/>
      <c r="K657" s="26"/>
      <c r="L657" s="26"/>
      <c r="M657" s="26"/>
      <c r="N657" s="26"/>
    </row>
    <row r="658" spans="5:14" x14ac:dyDescent="0.25">
      <c r="E658" s="26"/>
      <c r="F658" s="26"/>
      <c r="G658" s="26"/>
      <c r="K658" s="26"/>
      <c r="L658" s="26"/>
      <c r="M658" s="26"/>
      <c r="N658" s="26"/>
    </row>
    <row r="659" spans="5:14" x14ac:dyDescent="0.25">
      <c r="E659" s="26"/>
      <c r="F659" s="26"/>
      <c r="G659" s="26"/>
      <c r="K659" s="26"/>
      <c r="L659" s="26"/>
      <c r="M659" s="26"/>
      <c r="N659" s="26"/>
    </row>
    <row r="660" spans="5:14" x14ac:dyDescent="0.25">
      <c r="E660" s="26"/>
      <c r="F660" s="26"/>
      <c r="G660" s="26"/>
      <c r="K660" s="26"/>
      <c r="L660" s="26"/>
      <c r="M660" s="26"/>
      <c r="N660" s="26"/>
    </row>
    <row r="661" spans="5:14" x14ac:dyDescent="0.25">
      <c r="E661" s="26"/>
      <c r="F661" s="26"/>
      <c r="G661" s="26"/>
      <c r="K661" s="26"/>
      <c r="L661" s="26"/>
      <c r="M661" s="26"/>
      <c r="N661" s="26"/>
    </row>
    <row r="662" spans="5:14" x14ac:dyDescent="0.25">
      <c r="E662" s="26"/>
      <c r="F662" s="26"/>
      <c r="G662" s="26"/>
      <c r="K662" s="26"/>
      <c r="L662" s="26"/>
      <c r="M662" s="26"/>
      <c r="N662" s="26"/>
    </row>
    <row r="663" spans="5:14" x14ac:dyDescent="0.25">
      <c r="E663" s="26"/>
      <c r="F663" s="26"/>
      <c r="G663" s="26"/>
      <c r="K663" s="26"/>
      <c r="L663" s="26"/>
      <c r="M663" s="26"/>
      <c r="N663" s="26"/>
    </row>
    <row r="664" spans="5:14" x14ac:dyDescent="0.25">
      <c r="E664" s="26"/>
      <c r="F664" s="26"/>
      <c r="G664" s="26"/>
      <c r="K664" s="26"/>
      <c r="L664" s="26"/>
      <c r="M664" s="26"/>
      <c r="N664" s="26"/>
    </row>
    <row r="665" spans="5:14" x14ac:dyDescent="0.25">
      <c r="E665" s="26"/>
      <c r="F665" s="26"/>
      <c r="G665" s="26"/>
      <c r="K665" s="26"/>
      <c r="L665" s="26"/>
      <c r="M665" s="26"/>
      <c r="N665" s="26"/>
    </row>
    <row r="666" spans="5:14" x14ac:dyDescent="0.25">
      <c r="E666" s="26"/>
      <c r="F666" s="26"/>
      <c r="G666" s="26"/>
      <c r="K666" s="26"/>
      <c r="L666" s="26"/>
      <c r="M666" s="26"/>
      <c r="N666" s="26"/>
    </row>
    <row r="667" spans="5:14" x14ac:dyDescent="0.25">
      <c r="E667" s="26"/>
      <c r="F667" s="26"/>
      <c r="G667" s="26"/>
      <c r="K667" s="26"/>
      <c r="L667" s="26"/>
      <c r="M667" s="26"/>
      <c r="N667" s="26"/>
    </row>
    <row r="668" spans="5:14" x14ac:dyDescent="0.25">
      <c r="E668" s="26"/>
      <c r="F668" s="26"/>
      <c r="G668" s="26"/>
      <c r="K668" s="26"/>
      <c r="L668" s="26"/>
      <c r="M668" s="26"/>
      <c r="N668" s="26"/>
    </row>
    <row r="669" spans="5:14" x14ac:dyDescent="0.25">
      <c r="E669" s="26"/>
      <c r="F669" s="26"/>
      <c r="G669" s="26"/>
      <c r="K669" s="26"/>
      <c r="L669" s="26"/>
      <c r="M669" s="26"/>
      <c r="N669" s="26"/>
    </row>
    <row r="670" spans="5:14" x14ac:dyDescent="0.25">
      <c r="E670" s="26"/>
      <c r="F670" s="26"/>
      <c r="G670" s="26"/>
      <c r="K670" s="26"/>
      <c r="L670" s="26"/>
      <c r="M670" s="26"/>
      <c r="N670" s="26"/>
    </row>
    <row r="671" spans="5:14" x14ac:dyDescent="0.25">
      <c r="E671" s="26"/>
      <c r="F671" s="26"/>
      <c r="G671" s="26"/>
      <c r="K671" s="26"/>
      <c r="L671" s="26"/>
      <c r="M671" s="26"/>
      <c r="N671" s="26"/>
    </row>
    <row r="672" spans="5:14" x14ac:dyDescent="0.25">
      <c r="E672" s="26"/>
      <c r="F672" s="26"/>
      <c r="G672" s="26"/>
      <c r="K672" s="26"/>
      <c r="L672" s="26"/>
      <c r="M672" s="26"/>
      <c r="N672" s="26"/>
    </row>
    <row r="673" spans="5:14" x14ac:dyDescent="0.25">
      <c r="E673" s="26"/>
      <c r="F673" s="26"/>
      <c r="G673" s="26"/>
      <c r="K673" s="26"/>
      <c r="L673" s="26"/>
      <c r="M673" s="26"/>
      <c r="N673" s="26"/>
    </row>
    <row r="674" spans="5:14" x14ac:dyDescent="0.25">
      <c r="E674" s="26"/>
      <c r="F674" s="26"/>
      <c r="G674" s="26"/>
      <c r="K674" s="26"/>
      <c r="L674" s="26"/>
      <c r="M674" s="26"/>
      <c r="N674" s="26"/>
    </row>
    <row r="675" spans="5:14" x14ac:dyDescent="0.25">
      <c r="E675" s="26"/>
      <c r="F675" s="26"/>
      <c r="G675" s="26"/>
      <c r="K675" s="26"/>
      <c r="L675" s="26"/>
      <c r="M675" s="26"/>
      <c r="N675" s="26"/>
    </row>
    <row r="676" spans="5:14" x14ac:dyDescent="0.25">
      <c r="E676" s="26"/>
      <c r="F676" s="26"/>
      <c r="G676" s="26"/>
      <c r="K676" s="26"/>
      <c r="L676" s="26"/>
      <c r="M676" s="26"/>
      <c r="N676" s="26"/>
    </row>
    <row r="677" spans="5:14" x14ac:dyDescent="0.25">
      <c r="E677" s="26"/>
      <c r="F677" s="26"/>
      <c r="G677" s="26"/>
      <c r="K677" s="26"/>
      <c r="L677" s="26"/>
      <c r="M677" s="26"/>
      <c r="N677" s="26"/>
    </row>
    <row r="678" spans="5:14" x14ac:dyDescent="0.25">
      <c r="E678" s="26"/>
      <c r="F678" s="26"/>
      <c r="G678" s="26"/>
      <c r="K678" s="26"/>
      <c r="L678" s="26"/>
      <c r="M678" s="26"/>
      <c r="N678" s="26"/>
    </row>
    <row r="679" spans="5:14" x14ac:dyDescent="0.25">
      <c r="E679" s="26"/>
      <c r="F679" s="26"/>
      <c r="G679" s="26"/>
      <c r="K679" s="26"/>
      <c r="L679" s="26"/>
      <c r="M679" s="26"/>
      <c r="N679" s="26"/>
    </row>
    <row r="680" spans="5:14" x14ac:dyDescent="0.25">
      <c r="E680" s="26"/>
      <c r="F680" s="26"/>
      <c r="G680" s="26"/>
      <c r="K680" s="26"/>
      <c r="L680" s="26"/>
      <c r="M680" s="26"/>
      <c r="N680" s="26"/>
    </row>
    <row r="681" spans="5:14" x14ac:dyDescent="0.25">
      <c r="E681" s="26"/>
      <c r="F681" s="26"/>
      <c r="G681" s="26"/>
      <c r="K681" s="26"/>
      <c r="L681" s="26"/>
      <c r="M681" s="26"/>
      <c r="N681" s="26"/>
    </row>
    <row r="682" spans="5:14" x14ac:dyDescent="0.25">
      <c r="E682" s="26"/>
      <c r="F682" s="26"/>
      <c r="G682" s="26"/>
      <c r="K682" s="26"/>
      <c r="L682" s="26"/>
      <c r="M682" s="26"/>
      <c r="N682" s="26"/>
    </row>
    <row r="683" spans="5:14" x14ac:dyDescent="0.25">
      <c r="E683" s="26"/>
      <c r="F683" s="26"/>
      <c r="G683" s="26"/>
      <c r="K683" s="26"/>
      <c r="L683" s="26"/>
      <c r="M683" s="26"/>
      <c r="N683" s="26"/>
    </row>
    <row r="684" spans="5:14" x14ac:dyDescent="0.25">
      <c r="E684" s="26"/>
      <c r="F684" s="26"/>
      <c r="G684" s="26"/>
      <c r="K684" s="26"/>
      <c r="L684" s="26"/>
      <c r="M684" s="26"/>
      <c r="N684" s="26"/>
    </row>
    <row r="685" spans="5:14" x14ac:dyDescent="0.25">
      <c r="E685" s="26"/>
      <c r="F685" s="26"/>
      <c r="G685" s="26"/>
      <c r="K685" s="26"/>
      <c r="L685" s="26"/>
      <c r="M685" s="26"/>
      <c r="N685" s="26"/>
    </row>
    <row r="686" spans="5:14" x14ac:dyDescent="0.25">
      <c r="E686" s="26"/>
      <c r="F686" s="26"/>
      <c r="G686" s="26"/>
      <c r="K686" s="26"/>
      <c r="L686" s="26"/>
      <c r="M686" s="26"/>
      <c r="N686" s="26"/>
    </row>
    <row r="687" spans="5:14" x14ac:dyDescent="0.25">
      <c r="E687" s="26"/>
      <c r="F687" s="26"/>
      <c r="G687" s="26"/>
      <c r="K687" s="26"/>
      <c r="L687" s="26"/>
      <c r="M687" s="26"/>
      <c r="N687" s="26"/>
    </row>
    <row r="688" spans="5:14" x14ac:dyDescent="0.25">
      <c r="E688" s="26"/>
      <c r="F688" s="26"/>
      <c r="G688" s="26"/>
      <c r="K688" s="26"/>
      <c r="L688" s="26"/>
      <c r="M688" s="26"/>
      <c r="N688" s="26"/>
    </row>
    <row r="689" spans="5:14" x14ac:dyDescent="0.25">
      <c r="E689" s="26"/>
      <c r="F689" s="26"/>
      <c r="G689" s="26"/>
      <c r="K689" s="26"/>
      <c r="L689" s="26"/>
      <c r="M689" s="26"/>
      <c r="N689" s="26"/>
    </row>
    <row r="690" spans="5:14" x14ac:dyDescent="0.25">
      <c r="E690" s="26"/>
      <c r="F690" s="26"/>
      <c r="G690" s="26"/>
      <c r="K690" s="26"/>
      <c r="L690" s="26"/>
      <c r="M690" s="26"/>
      <c r="N690" s="26"/>
    </row>
    <row r="691" spans="5:14" x14ac:dyDescent="0.25">
      <c r="E691" s="26"/>
      <c r="F691" s="26"/>
      <c r="G691" s="26"/>
      <c r="K691" s="26"/>
      <c r="L691" s="26"/>
      <c r="M691" s="26"/>
      <c r="N691" s="26"/>
    </row>
    <row r="692" spans="5:14" x14ac:dyDescent="0.25">
      <c r="E692" s="26"/>
      <c r="F692" s="26"/>
      <c r="G692" s="26"/>
      <c r="K692" s="26"/>
      <c r="L692" s="26"/>
      <c r="M692" s="26"/>
      <c r="N692" s="26"/>
    </row>
    <row r="693" spans="5:14" x14ac:dyDescent="0.25">
      <c r="E693" s="26"/>
      <c r="F693" s="26"/>
      <c r="G693" s="26"/>
      <c r="K693" s="26"/>
      <c r="L693" s="26"/>
      <c r="M693" s="26"/>
      <c r="N693" s="26"/>
    </row>
    <row r="694" spans="5:14" x14ac:dyDescent="0.25">
      <c r="E694" s="26"/>
      <c r="F694" s="26"/>
      <c r="G694" s="26"/>
      <c r="K694" s="26"/>
      <c r="L694" s="26"/>
      <c r="M694" s="26"/>
      <c r="N694" s="26"/>
    </row>
    <row r="695" spans="5:14" x14ac:dyDescent="0.25">
      <c r="E695" s="26"/>
      <c r="F695" s="26"/>
      <c r="G695" s="26"/>
      <c r="K695" s="26"/>
      <c r="L695" s="26"/>
      <c r="M695" s="26"/>
      <c r="N695" s="26"/>
    </row>
    <row r="696" spans="5:14" x14ac:dyDescent="0.25">
      <c r="E696" s="26"/>
      <c r="F696" s="26"/>
      <c r="G696" s="26"/>
      <c r="K696" s="26"/>
      <c r="L696" s="26"/>
      <c r="M696" s="26"/>
      <c r="N696" s="26"/>
    </row>
    <row r="697" spans="5:14" x14ac:dyDescent="0.25">
      <c r="E697" s="26"/>
      <c r="F697" s="26"/>
      <c r="G697" s="26"/>
      <c r="K697" s="26"/>
      <c r="L697" s="26"/>
      <c r="M697" s="26"/>
      <c r="N697" s="26"/>
    </row>
    <row r="698" spans="5:14" x14ac:dyDescent="0.25">
      <c r="E698" s="26"/>
      <c r="F698" s="26"/>
      <c r="G698" s="26"/>
      <c r="K698" s="26"/>
      <c r="L698" s="26"/>
      <c r="M698" s="26"/>
      <c r="N698" s="26"/>
    </row>
    <row r="699" spans="5:14" x14ac:dyDescent="0.25">
      <c r="E699" s="26"/>
      <c r="F699" s="26"/>
      <c r="G699" s="26"/>
      <c r="K699" s="26"/>
      <c r="L699" s="26"/>
      <c r="M699" s="26"/>
      <c r="N699" s="26"/>
    </row>
    <row r="700" spans="5:14" x14ac:dyDescent="0.25">
      <c r="E700" s="26"/>
      <c r="F700" s="26"/>
      <c r="G700" s="26"/>
      <c r="K700" s="26"/>
      <c r="L700" s="26"/>
      <c r="M700" s="26"/>
      <c r="N700" s="26"/>
    </row>
    <row r="701" spans="5:14" x14ac:dyDescent="0.25">
      <c r="E701" s="26"/>
      <c r="F701" s="26"/>
      <c r="G701" s="26"/>
      <c r="K701" s="26"/>
      <c r="L701" s="26"/>
      <c r="M701" s="26"/>
      <c r="N701" s="26"/>
    </row>
    <row r="702" spans="5:14" x14ac:dyDescent="0.25">
      <c r="E702" s="26"/>
      <c r="F702" s="26"/>
      <c r="G702" s="26"/>
      <c r="K702" s="26"/>
      <c r="L702" s="26"/>
      <c r="M702" s="26"/>
      <c r="N702" s="26"/>
    </row>
    <row r="703" spans="5:14" x14ac:dyDescent="0.25">
      <c r="E703" s="26"/>
      <c r="F703" s="26"/>
      <c r="G703" s="26"/>
      <c r="K703" s="26"/>
      <c r="L703" s="26"/>
      <c r="M703" s="26"/>
      <c r="N703" s="26"/>
    </row>
    <row r="704" spans="5:14" x14ac:dyDescent="0.25">
      <c r="E704" s="26"/>
      <c r="F704" s="26"/>
      <c r="G704" s="26"/>
      <c r="K704" s="26"/>
      <c r="L704" s="26"/>
      <c r="M704" s="26"/>
      <c r="N704" s="26"/>
    </row>
    <row r="705" spans="5:14" x14ac:dyDescent="0.25">
      <c r="E705" s="26"/>
      <c r="F705" s="26"/>
      <c r="G705" s="26"/>
      <c r="K705" s="26"/>
      <c r="L705" s="26"/>
      <c r="M705" s="26"/>
      <c r="N705" s="26"/>
    </row>
    <row r="706" spans="5:14" x14ac:dyDescent="0.25">
      <c r="E706" s="26"/>
      <c r="F706" s="26"/>
      <c r="G706" s="26"/>
      <c r="K706" s="26"/>
      <c r="L706" s="26"/>
      <c r="M706" s="26"/>
      <c r="N706" s="26"/>
    </row>
    <row r="707" spans="5:14" x14ac:dyDescent="0.25">
      <c r="E707" s="26"/>
      <c r="F707" s="26"/>
      <c r="G707" s="26"/>
      <c r="K707" s="26"/>
      <c r="L707" s="26"/>
      <c r="M707" s="26"/>
      <c r="N707" s="26"/>
    </row>
    <row r="708" spans="5:14" x14ac:dyDescent="0.25">
      <c r="E708" s="26"/>
      <c r="F708" s="26"/>
      <c r="G708" s="26"/>
      <c r="K708" s="26"/>
      <c r="L708" s="26"/>
      <c r="M708" s="26"/>
      <c r="N708" s="26"/>
    </row>
    <row r="709" spans="5:14" x14ac:dyDescent="0.25">
      <c r="E709" s="26"/>
      <c r="F709" s="26"/>
      <c r="G709" s="26"/>
      <c r="K709" s="26"/>
      <c r="L709" s="26"/>
      <c r="M709" s="26"/>
      <c r="N709" s="26"/>
    </row>
    <row r="710" spans="5:14" x14ac:dyDescent="0.25">
      <c r="E710" s="26"/>
      <c r="F710" s="26"/>
      <c r="G710" s="26"/>
      <c r="K710" s="26"/>
      <c r="L710" s="26"/>
      <c r="M710" s="26"/>
      <c r="N710" s="26"/>
    </row>
    <row r="711" spans="5:14" x14ac:dyDescent="0.25">
      <c r="E711" s="26"/>
      <c r="F711" s="26"/>
      <c r="G711" s="26"/>
      <c r="K711" s="26"/>
      <c r="L711" s="26"/>
      <c r="M711" s="26"/>
      <c r="N711" s="26"/>
    </row>
    <row r="712" spans="5:14" x14ac:dyDescent="0.25">
      <c r="E712" s="26"/>
      <c r="F712" s="26"/>
      <c r="G712" s="26"/>
      <c r="K712" s="26"/>
      <c r="L712" s="26"/>
      <c r="M712" s="26"/>
      <c r="N712" s="26"/>
    </row>
    <row r="713" spans="5:14" x14ac:dyDescent="0.25">
      <c r="E713" s="26"/>
      <c r="F713" s="26"/>
      <c r="G713" s="26"/>
      <c r="K713" s="26"/>
      <c r="L713" s="26"/>
      <c r="M713" s="26"/>
      <c r="N713" s="26"/>
    </row>
    <row r="714" spans="5:14" x14ac:dyDescent="0.25">
      <c r="E714" s="26"/>
      <c r="F714" s="26"/>
      <c r="G714" s="26"/>
      <c r="K714" s="26"/>
      <c r="L714" s="26"/>
      <c r="M714" s="26"/>
      <c r="N714" s="26"/>
    </row>
    <row r="715" spans="5:14" x14ac:dyDescent="0.25">
      <c r="E715" s="26"/>
      <c r="F715" s="26"/>
      <c r="G715" s="26"/>
      <c r="K715" s="26"/>
      <c r="L715" s="26"/>
      <c r="M715" s="26"/>
      <c r="N715" s="26"/>
    </row>
    <row r="716" spans="5:14" x14ac:dyDescent="0.25">
      <c r="E716" s="26"/>
      <c r="F716" s="26"/>
      <c r="G716" s="26"/>
      <c r="K716" s="26"/>
      <c r="L716" s="26"/>
      <c r="M716" s="26"/>
      <c r="N716" s="26"/>
    </row>
    <row r="717" spans="5:14" x14ac:dyDescent="0.25">
      <c r="E717" s="26"/>
      <c r="F717" s="26"/>
      <c r="G717" s="26"/>
      <c r="K717" s="26"/>
      <c r="L717" s="26"/>
      <c r="M717" s="26"/>
      <c r="N717" s="26"/>
    </row>
    <row r="718" spans="5:14" x14ac:dyDescent="0.25">
      <c r="E718" s="26"/>
      <c r="F718" s="26"/>
      <c r="G718" s="26"/>
      <c r="K718" s="26"/>
      <c r="L718" s="26"/>
      <c r="M718" s="26"/>
      <c r="N718" s="26"/>
    </row>
    <row r="719" spans="5:14" x14ac:dyDescent="0.25">
      <c r="E719" s="26"/>
      <c r="F719" s="26"/>
      <c r="G719" s="26"/>
      <c r="K719" s="26"/>
      <c r="L719" s="26"/>
      <c r="M719" s="26"/>
      <c r="N719" s="26"/>
    </row>
    <row r="720" spans="5:14" x14ac:dyDescent="0.25">
      <c r="E720" s="26"/>
      <c r="F720" s="26"/>
      <c r="G720" s="26"/>
      <c r="K720" s="26"/>
      <c r="L720" s="26"/>
      <c r="M720" s="26"/>
      <c r="N720" s="26"/>
    </row>
    <row r="721" spans="5:14" x14ac:dyDescent="0.25">
      <c r="E721" s="26"/>
      <c r="F721" s="26"/>
      <c r="G721" s="26"/>
      <c r="K721" s="26"/>
      <c r="L721" s="26"/>
      <c r="M721" s="26"/>
      <c r="N721" s="26"/>
    </row>
    <row r="722" spans="5:14" x14ac:dyDescent="0.25">
      <c r="E722" s="26"/>
      <c r="F722" s="26"/>
      <c r="G722" s="26"/>
      <c r="K722" s="26"/>
      <c r="L722" s="26"/>
      <c r="M722" s="26"/>
      <c r="N722" s="26"/>
    </row>
    <row r="723" spans="5:14" x14ac:dyDescent="0.25">
      <c r="E723" s="26"/>
      <c r="F723" s="26"/>
      <c r="G723" s="26"/>
      <c r="K723" s="26"/>
      <c r="L723" s="26"/>
      <c r="M723" s="26"/>
      <c r="N723" s="26"/>
    </row>
    <row r="724" spans="5:14" x14ac:dyDescent="0.25">
      <c r="E724" s="26"/>
      <c r="F724" s="26"/>
      <c r="G724" s="26"/>
      <c r="K724" s="26"/>
      <c r="L724" s="26"/>
      <c r="M724" s="26"/>
      <c r="N724" s="26"/>
    </row>
    <row r="725" spans="5:14" x14ac:dyDescent="0.25">
      <c r="E725" s="26"/>
      <c r="F725" s="26"/>
      <c r="G725" s="26"/>
      <c r="K725" s="26"/>
      <c r="L725" s="26"/>
      <c r="M725" s="26"/>
      <c r="N725" s="26"/>
    </row>
    <row r="726" spans="5:14" x14ac:dyDescent="0.25">
      <c r="E726" s="26"/>
      <c r="F726" s="26"/>
      <c r="G726" s="26"/>
      <c r="K726" s="26"/>
      <c r="L726" s="26"/>
      <c r="M726" s="26"/>
      <c r="N726" s="26"/>
    </row>
    <row r="727" spans="5:14" x14ac:dyDescent="0.25">
      <c r="E727" s="26"/>
      <c r="F727" s="26"/>
      <c r="G727" s="26"/>
      <c r="K727" s="26"/>
      <c r="L727" s="26"/>
      <c r="M727" s="26"/>
      <c r="N727" s="26"/>
    </row>
    <row r="728" spans="5:14" x14ac:dyDescent="0.25">
      <c r="E728" s="26"/>
      <c r="F728" s="26"/>
      <c r="G728" s="26"/>
      <c r="K728" s="26"/>
      <c r="L728" s="26"/>
      <c r="M728" s="26"/>
      <c r="N728" s="26"/>
    </row>
    <row r="729" spans="5:14" x14ac:dyDescent="0.25">
      <c r="E729" s="26"/>
      <c r="F729" s="26"/>
      <c r="G729" s="26"/>
      <c r="K729" s="26"/>
      <c r="L729" s="26"/>
      <c r="M729" s="26"/>
      <c r="N729" s="26"/>
    </row>
    <row r="730" spans="5:14" x14ac:dyDescent="0.25">
      <c r="E730" s="26"/>
      <c r="F730" s="26"/>
      <c r="G730" s="26"/>
      <c r="K730" s="26"/>
      <c r="L730" s="26"/>
      <c r="M730" s="26"/>
      <c r="N730" s="26"/>
    </row>
    <row r="731" spans="5:14" x14ac:dyDescent="0.25">
      <c r="E731" s="26"/>
      <c r="F731" s="26"/>
      <c r="G731" s="26"/>
      <c r="K731" s="26"/>
      <c r="L731" s="26"/>
      <c r="M731" s="26"/>
      <c r="N731" s="26"/>
    </row>
    <row r="732" spans="5:14" x14ac:dyDescent="0.25">
      <c r="E732" s="26"/>
      <c r="F732" s="26"/>
      <c r="G732" s="26"/>
      <c r="K732" s="26"/>
      <c r="L732" s="26"/>
      <c r="M732" s="26"/>
      <c r="N732" s="26"/>
    </row>
    <row r="733" spans="5:14" x14ac:dyDescent="0.25">
      <c r="E733" s="26"/>
      <c r="F733" s="26"/>
      <c r="G733" s="26"/>
      <c r="K733" s="26"/>
      <c r="L733" s="26"/>
      <c r="M733" s="26"/>
      <c r="N733" s="26"/>
    </row>
    <row r="734" spans="5:14" x14ac:dyDescent="0.25">
      <c r="E734" s="26"/>
      <c r="F734" s="26"/>
      <c r="G734" s="26"/>
      <c r="K734" s="26"/>
      <c r="L734" s="26"/>
      <c r="M734" s="26"/>
      <c r="N734" s="26"/>
    </row>
    <row r="735" spans="5:14" x14ac:dyDescent="0.25">
      <c r="E735" s="26"/>
      <c r="F735" s="26"/>
      <c r="G735" s="26"/>
      <c r="K735" s="26"/>
      <c r="L735" s="26"/>
      <c r="M735" s="26"/>
      <c r="N735" s="26"/>
    </row>
    <row r="736" spans="5:14" x14ac:dyDescent="0.25">
      <c r="E736" s="26"/>
      <c r="F736" s="26"/>
      <c r="G736" s="26"/>
      <c r="K736" s="26"/>
      <c r="L736" s="26"/>
      <c r="M736" s="26"/>
      <c r="N736" s="26"/>
    </row>
    <row r="737" spans="5:14" x14ac:dyDescent="0.25">
      <c r="E737" s="26"/>
      <c r="F737" s="26"/>
      <c r="G737" s="26"/>
      <c r="K737" s="26"/>
      <c r="L737" s="26"/>
      <c r="M737" s="26"/>
      <c r="N737" s="26"/>
    </row>
    <row r="738" spans="5:14" x14ac:dyDescent="0.25">
      <c r="E738" s="26"/>
      <c r="F738" s="26"/>
      <c r="G738" s="26"/>
      <c r="K738" s="26"/>
      <c r="L738" s="26"/>
      <c r="M738" s="26"/>
      <c r="N738" s="26"/>
    </row>
    <row r="739" spans="5:14" x14ac:dyDescent="0.25">
      <c r="E739" s="26"/>
      <c r="F739" s="26"/>
      <c r="G739" s="26"/>
      <c r="K739" s="26"/>
      <c r="L739" s="26"/>
      <c r="M739" s="26"/>
      <c r="N739" s="26"/>
    </row>
    <row r="740" spans="5:14" x14ac:dyDescent="0.25">
      <c r="E740" s="26"/>
      <c r="F740" s="26"/>
      <c r="G740" s="26"/>
      <c r="K740" s="26"/>
      <c r="L740" s="26"/>
      <c r="M740" s="26"/>
      <c r="N740" s="26"/>
    </row>
    <row r="741" spans="5:14" x14ac:dyDescent="0.25">
      <c r="E741" s="26"/>
      <c r="F741" s="26"/>
      <c r="G741" s="26"/>
      <c r="K741" s="26"/>
      <c r="L741" s="26"/>
      <c r="M741" s="26"/>
      <c r="N741" s="26"/>
    </row>
    <row r="742" spans="5:14" x14ac:dyDescent="0.25">
      <c r="E742" s="26"/>
      <c r="F742" s="26"/>
      <c r="G742" s="26"/>
      <c r="K742" s="26"/>
      <c r="L742" s="26"/>
      <c r="M742" s="26"/>
      <c r="N742" s="26"/>
    </row>
    <row r="743" spans="5:14" x14ac:dyDescent="0.25">
      <c r="E743" s="26"/>
      <c r="F743" s="26"/>
      <c r="G743" s="26"/>
      <c r="K743" s="26"/>
      <c r="L743" s="26"/>
      <c r="M743" s="26"/>
      <c r="N743" s="26"/>
    </row>
    <row r="744" spans="5:14" x14ac:dyDescent="0.25">
      <c r="E744" s="26"/>
      <c r="F744" s="26"/>
      <c r="G744" s="26"/>
      <c r="K744" s="26"/>
      <c r="L744" s="26"/>
      <c r="M744" s="26"/>
      <c r="N744" s="26"/>
    </row>
    <row r="745" spans="5:14" x14ac:dyDescent="0.25">
      <c r="E745" s="26"/>
      <c r="F745" s="26"/>
      <c r="G745" s="26"/>
      <c r="K745" s="26"/>
      <c r="L745" s="26"/>
      <c r="M745" s="26"/>
      <c r="N745" s="26"/>
    </row>
    <row r="746" spans="5:14" x14ac:dyDescent="0.25">
      <c r="E746" s="26"/>
      <c r="F746" s="26"/>
      <c r="G746" s="26"/>
      <c r="K746" s="26"/>
      <c r="L746" s="26"/>
      <c r="M746" s="26"/>
      <c r="N746" s="26"/>
    </row>
    <row r="747" spans="5:14" x14ac:dyDescent="0.25">
      <c r="E747" s="26"/>
      <c r="F747" s="26"/>
      <c r="G747" s="26"/>
      <c r="K747" s="26"/>
      <c r="L747" s="26"/>
      <c r="M747" s="26"/>
      <c r="N747" s="26"/>
    </row>
    <row r="748" spans="5:14" x14ac:dyDescent="0.25">
      <c r="E748" s="26"/>
      <c r="F748" s="26"/>
      <c r="G748" s="26"/>
      <c r="K748" s="26"/>
      <c r="L748" s="26"/>
      <c r="M748" s="26"/>
      <c r="N748" s="26"/>
    </row>
    <row r="749" spans="5:14" x14ac:dyDescent="0.25">
      <c r="E749" s="26"/>
      <c r="F749" s="26"/>
      <c r="G749" s="26"/>
      <c r="K749" s="26"/>
      <c r="L749" s="26"/>
      <c r="M749" s="26"/>
      <c r="N749" s="26"/>
    </row>
    <row r="750" spans="5:14" x14ac:dyDescent="0.25">
      <c r="E750" s="26"/>
      <c r="F750" s="26"/>
      <c r="G750" s="26"/>
      <c r="K750" s="26"/>
      <c r="L750" s="26"/>
      <c r="M750" s="26"/>
      <c r="N750" s="26"/>
    </row>
    <row r="751" spans="5:14" x14ac:dyDescent="0.25">
      <c r="E751" s="26"/>
      <c r="F751" s="26"/>
      <c r="G751" s="26"/>
      <c r="K751" s="26"/>
      <c r="L751" s="26"/>
      <c r="M751" s="26"/>
      <c r="N751" s="26"/>
    </row>
    <row r="752" spans="5:14" x14ac:dyDescent="0.25">
      <c r="E752" s="26"/>
      <c r="F752" s="26"/>
      <c r="G752" s="26"/>
      <c r="K752" s="26"/>
      <c r="L752" s="26"/>
      <c r="M752" s="26"/>
      <c r="N752" s="26"/>
    </row>
    <row r="753" spans="5:14" x14ac:dyDescent="0.25">
      <c r="E753" s="26"/>
      <c r="F753" s="26"/>
      <c r="G753" s="26"/>
      <c r="K753" s="26"/>
      <c r="L753" s="26"/>
      <c r="M753" s="26"/>
      <c r="N753" s="26"/>
    </row>
    <row r="754" spans="5:14" x14ac:dyDescent="0.25">
      <c r="E754" s="26"/>
      <c r="F754" s="26"/>
      <c r="G754" s="26"/>
      <c r="K754" s="26"/>
      <c r="L754" s="26"/>
      <c r="M754" s="26"/>
      <c r="N754" s="26"/>
    </row>
    <row r="755" spans="5:14" x14ac:dyDescent="0.25">
      <c r="E755" s="26"/>
      <c r="F755" s="26"/>
      <c r="G755" s="26"/>
      <c r="K755" s="26"/>
      <c r="L755" s="26"/>
      <c r="M755" s="26"/>
      <c r="N755" s="26"/>
    </row>
    <row r="756" spans="5:14" x14ac:dyDescent="0.25">
      <c r="E756" s="26"/>
      <c r="F756" s="26"/>
      <c r="G756" s="26"/>
      <c r="K756" s="26"/>
      <c r="L756" s="26"/>
      <c r="M756" s="26"/>
      <c r="N756" s="26"/>
    </row>
    <row r="757" spans="5:14" x14ac:dyDescent="0.25">
      <c r="E757" s="26"/>
      <c r="F757" s="26"/>
      <c r="G757" s="26"/>
      <c r="K757" s="26"/>
      <c r="L757" s="26"/>
      <c r="M757" s="26"/>
      <c r="N757" s="26"/>
    </row>
    <row r="758" spans="5:14" x14ac:dyDescent="0.25">
      <c r="E758" s="26"/>
      <c r="F758" s="26"/>
      <c r="G758" s="26"/>
      <c r="K758" s="26"/>
      <c r="L758" s="26"/>
      <c r="M758" s="26"/>
      <c r="N758" s="26"/>
    </row>
    <row r="759" spans="5:14" x14ac:dyDescent="0.25">
      <c r="E759" s="26"/>
      <c r="F759" s="26"/>
      <c r="G759" s="26"/>
      <c r="K759" s="26"/>
      <c r="L759" s="26"/>
      <c r="M759" s="26"/>
      <c r="N759" s="26"/>
    </row>
    <row r="760" spans="5:14" x14ac:dyDescent="0.25">
      <c r="E760" s="26"/>
      <c r="F760" s="26"/>
      <c r="G760" s="26"/>
      <c r="K760" s="26"/>
      <c r="L760" s="26"/>
      <c r="M760" s="26"/>
      <c r="N760" s="26"/>
    </row>
    <row r="761" spans="5:14" x14ac:dyDescent="0.25">
      <c r="E761" s="26"/>
      <c r="F761" s="26"/>
      <c r="G761" s="26"/>
      <c r="K761" s="26"/>
      <c r="L761" s="26"/>
      <c r="M761" s="26"/>
      <c r="N761" s="26"/>
    </row>
    <row r="762" spans="5:14" x14ac:dyDescent="0.25">
      <c r="E762" s="26"/>
      <c r="F762" s="26"/>
      <c r="G762" s="26"/>
      <c r="K762" s="26"/>
      <c r="L762" s="26"/>
      <c r="M762" s="26"/>
      <c r="N762" s="26"/>
    </row>
    <row r="763" spans="5:14" x14ac:dyDescent="0.25">
      <c r="E763" s="26"/>
      <c r="F763" s="26"/>
      <c r="G763" s="26"/>
      <c r="K763" s="26"/>
      <c r="L763" s="26"/>
      <c r="M763" s="26"/>
      <c r="N763" s="26"/>
    </row>
    <row r="764" spans="5:14" x14ac:dyDescent="0.25">
      <c r="E764" s="26"/>
      <c r="F764" s="26"/>
      <c r="G764" s="26"/>
      <c r="K764" s="26"/>
      <c r="L764" s="26"/>
      <c r="M764" s="26"/>
      <c r="N764" s="26"/>
    </row>
    <row r="765" spans="5:14" x14ac:dyDescent="0.25">
      <c r="E765" s="26"/>
      <c r="F765" s="26"/>
      <c r="G765" s="26"/>
      <c r="K765" s="26"/>
      <c r="L765" s="26"/>
      <c r="M765" s="26"/>
      <c r="N765" s="26"/>
    </row>
    <row r="766" spans="5:14" x14ac:dyDescent="0.25">
      <c r="E766" s="26"/>
      <c r="F766" s="26"/>
      <c r="G766" s="26"/>
      <c r="K766" s="26"/>
      <c r="L766" s="26"/>
      <c r="M766" s="26"/>
      <c r="N766" s="26"/>
    </row>
    <row r="767" spans="5:14" x14ac:dyDescent="0.25">
      <c r="E767" s="26"/>
      <c r="F767" s="26"/>
      <c r="G767" s="26"/>
      <c r="K767" s="26"/>
      <c r="L767" s="26"/>
      <c r="M767" s="26"/>
      <c r="N767" s="26"/>
    </row>
    <row r="768" spans="5:14" x14ac:dyDescent="0.25">
      <c r="E768" s="26"/>
      <c r="F768" s="26"/>
      <c r="G768" s="26"/>
      <c r="K768" s="26"/>
      <c r="L768" s="26"/>
      <c r="M768" s="26"/>
      <c r="N768" s="26"/>
    </row>
    <row r="769" spans="5:14" x14ac:dyDescent="0.25">
      <c r="E769" s="26"/>
      <c r="F769" s="26"/>
      <c r="G769" s="26"/>
      <c r="K769" s="26"/>
      <c r="L769" s="26"/>
      <c r="M769" s="26"/>
      <c r="N769" s="26"/>
    </row>
    <row r="770" spans="5:14" x14ac:dyDescent="0.25">
      <c r="E770" s="26"/>
      <c r="F770" s="26"/>
      <c r="G770" s="26"/>
      <c r="K770" s="26"/>
      <c r="L770" s="26"/>
      <c r="M770" s="26"/>
      <c r="N770" s="26"/>
    </row>
    <row r="771" spans="5:14" x14ac:dyDescent="0.25">
      <c r="E771" s="26"/>
      <c r="F771" s="26"/>
      <c r="G771" s="26"/>
      <c r="K771" s="26"/>
      <c r="L771" s="26"/>
      <c r="M771" s="26"/>
      <c r="N771" s="26"/>
    </row>
    <row r="772" spans="5:14" x14ac:dyDescent="0.25">
      <c r="E772" s="26"/>
      <c r="F772" s="26"/>
      <c r="G772" s="26"/>
      <c r="K772" s="26"/>
      <c r="L772" s="26"/>
      <c r="M772" s="26"/>
      <c r="N772" s="26"/>
    </row>
    <row r="773" spans="5:14" x14ac:dyDescent="0.25">
      <c r="E773" s="26"/>
      <c r="F773" s="26"/>
      <c r="G773" s="26"/>
      <c r="K773" s="26"/>
      <c r="L773" s="26"/>
      <c r="M773" s="26"/>
      <c r="N773" s="26"/>
    </row>
    <row r="774" spans="5:14" x14ac:dyDescent="0.25">
      <c r="E774" s="26"/>
      <c r="F774" s="26"/>
      <c r="G774" s="26"/>
      <c r="K774" s="26"/>
      <c r="L774" s="26"/>
      <c r="M774" s="26"/>
      <c r="N774" s="26"/>
    </row>
    <row r="775" spans="5:14" x14ac:dyDescent="0.25">
      <c r="E775" s="26"/>
      <c r="F775" s="26"/>
      <c r="G775" s="26"/>
      <c r="K775" s="26"/>
      <c r="L775" s="26"/>
      <c r="M775" s="26"/>
      <c r="N775" s="26"/>
    </row>
    <row r="776" spans="5:14" x14ac:dyDescent="0.25">
      <c r="E776" s="26"/>
      <c r="F776" s="26"/>
      <c r="G776" s="26"/>
      <c r="K776" s="26"/>
      <c r="L776" s="26"/>
      <c r="M776" s="26"/>
      <c r="N776" s="26"/>
    </row>
    <row r="777" spans="5:14" x14ac:dyDescent="0.25">
      <c r="E777" s="26"/>
      <c r="F777" s="26"/>
      <c r="G777" s="26"/>
      <c r="K777" s="26"/>
      <c r="L777" s="26"/>
      <c r="M777" s="26"/>
      <c r="N777" s="26"/>
    </row>
    <row r="778" spans="5:14" x14ac:dyDescent="0.25">
      <c r="E778" s="26"/>
      <c r="F778" s="26"/>
      <c r="G778" s="26"/>
      <c r="K778" s="26"/>
      <c r="L778" s="26"/>
      <c r="M778" s="26"/>
      <c r="N778" s="26"/>
    </row>
    <row r="779" spans="5:14" x14ac:dyDescent="0.25">
      <c r="E779" s="26"/>
      <c r="F779" s="26"/>
      <c r="G779" s="26"/>
      <c r="K779" s="26"/>
      <c r="L779" s="26"/>
      <c r="M779" s="26"/>
      <c r="N779" s="26"/>
    </row>
    <row r="780" spans="5:14" x14ac:dyDescent="0.25">
      <c r="E780" s="26"/>
      <c r="F780" s="26"/>
      <c r="G780" s="26"/>
      <c r="K780" s="26"/>
      <c r="L780" s="26"/>
      <c r="M780" s="26"/>
      <c r="N780" s="26"/>
    </row>
    <row r="781" spans="5:14" x14ac:dyDescent="0.25">
      <c r="E781" s="26"/>
      <c r="F781" s="26"/>
      <c r="G781" s="26"/>
      <c r="K781" s="26"/>
      <c r="L781" s="26"/>
      <c r="M781" s="26"/>
      <c r="N781" s="26"/>
    </row>
    <row r="782" spans="5:14" x14ac:dyDescent="0.25">
      <c r="E782" s="26"/>
      <c r="F782" s="26"/>
      <c r="G782" s="26"/>
      <c r="K782" s="26"/>
      <c r="L782" s="26"/>
      <c r="M782" s="26"/>
      <c r="N782" s="26"/>
    </row>
    <row r="783" spans="5:14" x14ac:dyDescent="0.25">
      <c r="E783" s="26"/>
      <c r="F783" s="26"/>
      <c r="G783" s="26"/>
      <c r="K783" s="26"/>
      <c r="L783" s="26"/>
      <c r="M783" s="26"/>
      <c r="N783" s="26"/>
    </row>
    <row r="784" spans="5:14" x14ac:dyDescent="0.25">
      <c r="E784" s="26"/>
      <c r="F784" s="26"/>
      <c r="G784" s="26"/>
      <c r="K784" s="26"/>
      <c r="L784" s="26"/>
      <c r="M784" s="26"/>
      <c r="N784" s="26"/>
    </row>
    <row r="785" spans="5:14" x14ac:dyDescent="0.25">
      <c r="E785" s="26"/>
      <c r="F785" s="26"/>
      <c r="G785" s="26"/>
      <c r="K785" s="26"/>
      <c r="L785" s="26"/>
      <c r="M785" s="26"/>
      <c r="N785" s="26"/>
    </row>
    <row r="786" spans="5:14" x14ac:dyDescent="0.25">
      <c r="E786" s="26"/>
      <c r="F786" s="26"/>
      <c r="G786" s="26"/>
      <c r="K786" s="26"/>
      <c r="L786" s="26"/>
      <c r="M786" s="26"/>
      <c r="N786" s="26"/>
    </row>
    <row r="787" spans="5:14" x14ac:dyDescent="0.25">
      <c r="E787" s="26"/>
      <c r="F787" s="26"/>
      <c r="G787" s="26"/>
      <c r="K787" s="26"/>
      <c r="L787" s="26"/>
      <c r="M787" s="26"/>
      <c r="N787" s="26"/>
    </row>
    <row r="788" spans="5:14" x14ac:dyDescent="0.25">
      <c r="E788" s="26"/>
      <c r="F788" s="26"/>
      <c r="G788" s="26"/>
      <c r="K788" s="26"/>
      <c r="L788" s="26"/>
      <c r="M788" s="26"/>
      <c r="N788" s="26"/>
    </row>
    <row r="789" spans="5:14" x14ac:dyDescent="0.25">
      <c r="E789" s="26"/>
      <c r="F789" s="26"/>
      <c r="G789" s="26"/>
      <c r="K789" s="26"/>
      <c r="L789" s="26"/>
      <c r="M789" s="26"/>
      <c r="N789" s="26"/>
    </row>
    <row r="790" spans="5:14" x14ac:dyDescent="0.25">
      <c r="E790" s="26"/>
      <c r="F790" s="26"/>
      <c r="G790" s="26"/>
      <c r="K790" s="26"/>
      <c r="L790" s="26"/>
      <c r="M790" s="26"/>
      <c r="N790" s="26"/>
    </row>
    <row r="791" spans="5:14" x14ac:dyDescent="0.25">
      <c r="E791" s="26"/>
      <c r="F791" s="26"/>
      <c r="G791" s="26"/>
      <c r="K791" s="26"/>
      <c r="L791" s="26"/>
      <c r="M791" s="26"/>
      <c r="N791" s="26"/>
    </row>
    <row r="792" spans="5:14" x14ac:dyDescent="0.25">
      <c r="E792" s="26"/>
      <c r="F792" s="26"/>
      <c r="G792" s="26"/>
      <c r="K792" s="26"/>
      <c r="L792" s="26"/>
      <c r="M792" s="26"/>
      <c r="N792" s="26"/>
    </row>
    <row r="793" spans="5:14" x14ac:dyDescent="0.25">
      <c r="E793" s="26"/>
      <c r="F793" s="26"/>
      <c r="G793" s="26"/>
      <c r="K793" s="26"/>
      <c r="L793" s="26"/>
      <c r="M793" s="26"/>
      <c r="N793" s="26"/>
    </row>
    <row r="794" spans="5:14" x14ac:dyDescent="0.25">
      <c r="E794" s="26"/>
      <c r="F794" s="26"/>
      <c r="G794" s="26"/>
      <c r="K794" s="26"/>
      <c r="L794" s="26"/>
      <c r="M794" s="26"/>
      <c r="N794" s="26"/>
    </row>
    <row r="795" spans="5:14" x14ac:dyDescent="0.25">
      <c r="E795" s="26"/>
      <c r="F795" s="26"/>
      <c r="G795" s="26"/>
      <c r="K795" s="26"/>
      <c r="L795" s="26"/>
      <c r="M795" s="26"/>
      <c r="N795" s="26"/>
    </row>
    <row r="796" spans="5:14" x14ac:dyDescent="0.25">
      <c r="E796" s="26"/>
      <c r="F796" s="26"/>
      <c r="G796" s="26"/>
      <c r="K796" s="26"/>
      <c r="L796" s="26"/>
      <c r="M796" s="26"/>
      <c r="N796" s="26"/>
    </row>
    <row r="797" spans="5:14" x14ac:dyDescent="0.25">
      <c r="E797" s="26"/>
      <c r="F797" s="26"/>
      <c r="G797" s="26"/>
      <c r="K797" s="26"/>
      <c r="L797" s="26"/>
      <c r="M797" s="26"/>
      <c r="N797" s="26"/>
    </row>
    <row r="798" spans="5:14" x14ac:dyDescent="0.25">
      <c r="E798" s="26"/>
      <c r="F798" s="26"/>
      <c r="G798" s="26"/>
      <c r="K798" s="26"/>
      <c r="L798" s="26"/>
      <c r="M798" s="26"/>
      <c r="N798" s="26"/>
    </row>
    <row r="799" spans="5:14" x14ac:dyDescent="0.25">
      <c r="E799" s="26"/>
      <c r="F799" s="26"/>
      <c r="G799" s="26"/>
      <c r="K799" s="26"/>
      <c r="L799" s="26"/>
      <c r="M799" s="26"/>
      <c r="N799" s="26"/>
    </row>
    <row r="800" spans="5:14" x14ac:dyDescent="0.25">
      <c r="E800" s="26"/>
      <c r="F800" s="26"/>
      <c r="G800" s="26"/>
      <c r="K800" s="26"/>
      <c r="L800" s="26"/>
      <c r="M800" s="26"/>
      <c r="N800" s="26"/>
    </row>
    <row r="801" spans="5:14" x14ac:dyDescent="0.25">
      <c r="E801" s="26"/>
      <c r="F801" s="26"/>
      <c r="G801" s="26"/>
      <c r="K801" s="26"/>
      <c r="L801" s="26"/>
      <c r="M801" s="26"/>
      <c r="N801" s="26"/>
    </row>
    <row r="802" spans="5:14" x14ac:dyDescent="0.25">
      <c r="E802" s="26"/>
      <c r="F802" s="26"/>
      <c r="G802" s="26"/>
      <c r="K802" s="26"/>
      <c r="L802" s="26"/>
      <c r="M802" s="26"/>
      <c r="N802" s="26"/>
    </row>
    <row r="803" spans="5:14" x14ac:dyDescent="0.25">
      <c r="E803" s="26"/>
      <c r="F803" s="26"/>
      <c r="G803" s="26"/>
      <c r="K803" s="26"/>
      <c r="L803" s="26"/>
      <c r="M803" s="26"/>
      <c r="N803" s="26"/>
    </row>
    <row r="804" spans="5:14" x14ac:dyDescent="0.25">
      <c r="E804" s="26"/>
      <c r="F804" s="26"/>
      <c r="G804" s="26"/>
      <c r="K804" s="26"/>
      <c r="L804" s="26"/>
      <c r="M804" s="26"/>
      <c r="N804" s="26"/>
    </row>
    <row r="805" spans="5:14" x14ac:dyDescent="0.25">
      <c r="E805" s="26"/>
      <c r="F805" s="26"/>
      <c r="G805" s="26"/>
      <c r="K805" s="26"/>
      <c r="L805" s="26"/>
      <c r="M805" s="26"/>
      <c r="N805" s="26"/>
    </row>
    <row r="806" spans="5:14" x14ac:dyDescent="0.25">
      <c r="E806" s="26"/>
      <c r="F806" s="26"/>
      <c r="G806" s="26"/>
      <c r="K806" s="26"/>
      <c r="L806" s="26"/>
      <c r="M806" s="26"/>
      <c r="N806" s="26"/>
    </row>
    <row r="807" spans="5:14" x14ac:dyDescent="0.25">
      <c r="E807" s="26"/>
      <c r="F807" s="26"/>
      <c r="G807" s="26"/>
      <c r="K807" s="26"/>
      <c r="L807" s="26"/>
      <c r="M807" s="26"/>
      <c r="N807" s="26"/>
    </row>
    <row r="808" spans="5:14" x14ac:dyDescent="0.25">
      <c r="E808" s="26"/>
      <c r="F808" s="26"/>
      <c r="G808" s="26"/>
      <c r="K808" s="26"/>
      <c r="L808" s="26"/>
      <c r="M808" s="26"/>
      <c r="N808" s="26"/>
    </row>
    <row r="809" spans="5:14" x14ac:dyDescent="0.25">
      <c r="E809" s="26"/>
      <c r="F809" s="26"/>
      <c r="G809" s="26"/>
      <c r="K809" s="26"/>
      <c r="L809" s="26"/>
      <c r="M809" s="26"/>
      <c r="N809" s="26"/>
    </row>
    <row r="810" spans="5:14" x14ac:dyDescent="0.25">
      <c r="E810" s="26"/>
      <c r="F810" s="26"/>
      <c r="G810" s="26"/>
      <c r="K810" s="26"/>
      <c r="L810" s="26"/>
      <c r="M810" s="26"/>
      <c r="N810" s="26"/>
    </row>
    <row r="811" spans="5:14" x14ac:dyDescent="0.25">
      <c r="E811" s="26"/>
      <c r="F811" s="26"/>
      <c r="G811" s="26"/>
      <c r="K811" s="26"/>
      <c r="L811" s="26"/>
      <c r="M811" s="26"/>
      <c r="N811" s="26"/>
    </row>
    <row r="812" spans="5:14" x14ac:dyDescent="0.25">
      <c r="E812" s="26"/>
      <c r="F812" s="26"/>
      <c r="G812" s="26"/>
      <c r="K812" s="26"/>
      <c r="L812" s="26"/>
      <c r="M812" s="26"/>
      <c r="N812" s="26"/>
    </row>
    <row r="813" spans="5:14" x14ac:dyDescent="0.25">
      <c r="E813" s="26"/>
      <c r="F813" s="26"/>
      <c r="G813" s="26"/>
      <c r="K813" s="26"/>
      <c r="L813" s="26"/>
      <c r="M813" s="26"/>
      <c r="N813" s="26"/>
    </row>
    <row r="814" spans="5:14" x14ac:dyDescent="0.25">
      <c r="E814" s="26"/>
      <c r="F814" s="26"/>
      <c r="G814" s="26"/>
      <c r="K814" s="26"/>
      <c r="L814" s="26"/>
      <c r="M814" s="26"/>
      <c r="N814" s="26"/>
    </row>
    <row r="815" spans="5:14" x14ac:dyDescent="0.25">
      <c r="E815" s="26"/>
      <c r="F815" s="26"/>
      <c r="G815" s="26"/>
      <c r="K815" s="26"/>
      <c r="L815" s="26"/>
      <c r="M815" s="26"/>
      <c r="N815" s="26"/>
    </row>
    <row r="816" spans="5:14" x14ac:dyDescent="0.25">
      <c r="E816" s="26"/>
      <c r="F816" s="26"/>
      <c r="G816" s="26"/>
      <c r="K816" s="26"/>
      <c r="L816" s="26"/>
      <c r="M816" s="26"/>
      <c r="N816" s="26"/>
    </row>
    <row r="817" spans="5:14" x14ac:dyDescent="0.25">
      <c r="E817" s="26"/>
      <c r="F817" s="26"/>
      <c r="G817" s="26"/>
      <c r="K817" s="26"/>
      <c r="L817" s="26"/>
      <c r="M817" s="26"/>
      <c r="N817" s="26"/>
    </row>
    <row r="818" spans="5:14" x14ac:dyDescent="0.25">
      <c r="E818" s="26"/>
      <c r="F818" s="26"/>
      <c r="G818" s="26"/>
      <c r="K818" s="26"/>
      <c r="L818" s="26"/>
      <c r="M818" s="26"/>
      <c r="N818" s="26"/>
    </row>
    <row r="819" spans="5:14" x14ac:dyDescent="0.25">
      <c r="E819" s="26"/>
      <c r="F819" s="26"/>
      <c r="G819" s="26"/>
      <c r="K819" s="26"/>
      <c r="L819" s="26"/>
      <c r="M819" s="26"/>
      <c r="N819" s="26"/>
    </row>
    <row r="820" spans="5:14" x14ac:dyDescent="0.25">
      <c r="E820" s="26"/>
      <c r="F820" s="26"/>
      <c r="G820" s="26"/>
      <c r="K820" s="26"/>
      <c r="L820" s="26"/>
      <c r="M820" s="26"/>
      <c r="N820" s="26"/>
    </row>
    <row r="821" spans="5:14" x14ac:dyDescent="0.25">
      <c r="E821" s="26"/>
      <c r="F821" s="26"/>
      <c r="G821" s="26"/>
      <c r="K821" s="26"/>
      <c r="L821" s="26"/>
      <c r="M821" s="26"/>
      <c r="N821" s="26"/>
    </row>
    <row r="822" spans="5:14" x14ac:dyDescent="0.25">
      <c r="E822" s="26"/>
      <c r="F822" s="26"/>
      <c r="G822" s="26"/>
      <c r="K822" s="26"/>
      <c r="L822" s="26"/>
      <c r="M822" s="26"/>
      <c r="N822" s="26"/>
    </row>
    <row r="823" spans="5:14" x14ac:dyDescent="0.25">
      <c r="E823" s="26"/>
      <c r="F823" s="26"/>
      <c r="G823" s="26"/>
      <c r="K823" s="26"/>
      <c r="L823" s="26"/>
      <c r="M823" s="26"/>
      <c r="N823" s="26"/>
    </row>
    <row r="824" spans="5:14" x14ac:dyDescent="0.25">
      <c r="E824" s="26"/>
      <c r="F824" s="26"/>
      <c r="G824" s="26"/>
      <c r="K824" s="26"/>
      <c r="L824" s="26"/>
      <c r="M824" s="26"/>
      <c r="N824" s="26"/>
    </row>
    <row r="825" spans="5:14" x14ac:dyDescent="0.25">
      <c r="E825" s="26"/>
      <c r="F825" s="26"/>
      <c r="G825" s="26"/>
      <c r="K825" s="26"/>
      <c r="L825" s="26"/>
      <c r="M825" s="26"/>
      <c r="N825" s="26"/>
    </row>
    <row r="826" spans="5:14" x14ac:dyDescent="0.25">
      <c r="E826" s="26"/>
      <c r="F826" s="26"/>
      <c r="G826" s="26"/>
      <c r="K826" s="26"/>
      <c r="L826" s="26"/>
      <c r="M826" s="26"/>
      <c r="N826" s="26"/>
    </row>
    <row r="827" spans="5:14" x14ac:dyDescent="0.25">
      <c r="E827" s="26"/>
      <c r="F827" s="26"/>
      <c r="G827" s="26"/>
      <c r="K827" s="26"/>
      <c r="L827" s="26"/>
      <c r="M827" s="26"/>
      <c r="N827" s="26"/>
    </row>
    <row r="828" spans="5:14" x14ac:dyDescent="0.25">
      <c r="E828" s="26"/>
      <c r="F828" s="26"/>
      <c r="G828" s="26"/>
      <c r="K828" s="26"/>
      <c r="L828" s="26"/>
      <c r="M828" s="26"/>
      <c r="N828" s="26"/>
    </row>
    <row r="829" spans="5:14" x14ac:dyDescent="0.25">
      <c r="E829" s="26"/>
      <c r="F829" s="26"/>
      <c r="G829" s="26"/>
      <c r="K829" s="26"/>
      <c r="L829" s="26"/>
      <c r="M829" s="26"/>
      <c r="N829" s="26"/>
    </row>
    <row r="830" spans="5:14" x14ac:dyDescent="0.25">
      <c r="E830" s="26"/>
      <c r="F830" s="26"/>
      <c r="G830" s="26"/>
      <c r="K830" s="26"/>
      <c r="L830" s="26"/>
      <c r="M830" s="26"/>
      <c r="N830" s="26"/>
    </row>
    <row r="831" spans="5:14" x14ac:dyDescent="0.25">
      <c r="E831" s="26"/>
      <c r="F831" s="26"/>
      <c r="G831" s="26"/>
      <c r="K831" s="26"/>
      <c r="L831" s="26"/>
      <c r="M831" s="26"/>
      <c r="N831" s="26"/>
    </row>
    <row r="832" spans="5:14" x14ac:dyDescent="0.25">
      <c r="E832" s="26"/>
      <c r="F832" s="26"/>
      <c r="G832" s="26"/>
      <c r="K832" s="26"/>
      <c r="L832" s="26"/>
      <c r="M832" s="26"/>
      <c r="N832" s="26"/>
    </row>
    <row r="833" spans="5:14" x14ac:dyDescent="0.25">
      <c r="E833" s="26"/>
      <c r="F833" s="26"/>
      <c r="G833" s="26"/>
      <c r="K833" s="26"/>
      <c r="L833" s="26"/>
      <c r="M833" s="26"/>
      <c r="N833" s="26"/>
    </row>
    <row r="834" spans="5:14" x14ac:dyDescent="0.25">
      <c r="E834" s="26"/>
      <c r="F834" s="26"/>
      <c r="G834" s="26"/>
      <c r="K834" s="26"/>
      <c r="L834" s="26"/>
      <c r="M834" s="26"/>
      <c r="N834" s="26"/>
    </row>
    <row r="835" spans="5:14" x14ac:dyDescent="0.25">
      <c r="E835" s="26"/>
      <c r="F835" s="26"/>
      <c r="G835" s="26"/>
      <c r="K835" s="26"/>
      <c r="L835" s="26"/>
      <c r="M835" s="26"/>
      <c r="N835" s="26"/>
    </row>
    <row r="836" spans="5:14" x14ac:dyDescent="0.25">
      <c r="E836" s="26"/>
      <c r="F836" s="26"/>
      <c r="G836" s="26"/>
      <c r="K836" s="26"/>
      <c r="L836" s="26"/>
      <c r="M836" s="26"/>
      <c r="N836" s="26"/>
    </row>
    <row r="837" spans="5:14" x14ac:dyDescent="0.25">
      <c r="E837" s="26"/>
      <c r="F837" s="26"/>
      <c r="G837" s="26"/>
      <c r="K837" s="26"/>
      <c r="L837" s="26"/>
      <c r="M837" s="26"/>
      <c r="N837" s="26"/>
    </row>
    <row r="838" spans="5:14" x14ac:dyDescent="0.25">
      <c r="E838" s="26"/>
      <c r="F838" s="26"/>
      <c r="G838" s="26"/>
      <c r="K838" s="26"/>
      <c r="L838" s="26"/>
      <c r="M838" s="26"/>
      <c r="N838" s="26"/>
    </row>
    <row r="839" spans="5:14" x14ac:dyDescent="0.25">
      <c r="E839" s="26"/>
      <c r="F839" s="26"/>
      <c r="G839" s="26"/>
      <c r="K839" s="26"/>
      <c r="L839" s="26"/>
      <c r="M839" s="26"/>
      <c r="N839" s="26"/>
    </row>
    <row r="840" spans="5:14" x14ac:dyDescent="0.25">
      <c r="E840" s="26"/>
      <c r="F840" s="26"/>
      <c r="G840" s="26"/>
      <c r="K840" s="26"/>
      <c r="L840" s="26"/>
      <c r="M840" s="26"/>
      <c r="N840" s="26"/>
    </row>
    <row r="841" spans="5:14" x14ac:dyDescent="0.25">
      <c r="E841" s="26"/>
      <c r="F841" s="26"/>
      <c r="G841" s="26"/>
      <c r="K841" s="26"/>
      <c r="L841" s="26"/>
      <c r="M841" s="26"/>
      <c r="N841" s="26"/>
    </row>
    <row r="842" spans="5:14" x14ac:dyDescent="0.25">
      <c r="E842" s="26"/>
      <c r="F842" s="26"/>
      <c r="G842" s="26"/>
      <c r="K842" s="26"/>
      <c r="L842" s="26"/>
      <c r="M842" s="26"/>
      <c r="N842" s="26"/>
    </row>
    <row r="843" spans="5:14" x14ac:dyDescent="0.25">
      <c r="E843" s="26"/>
      <c r="F843" s="26"/>
      <c r="G843" s="26"/>
      <c r="K843" s="26"/>
      <c r="L843" s="26"/>
      <c r="M843" s="26"/>
      <c r="N843" s="26"/>
    </row>
    <row r="844" spans="5:14" x14ac:dyDescent="0.25">
      <c r="E844" s="26"/>
      <c r="F844" s="26"/>
      <c r="G844" s="26"/>
      <c r="K844" s="26"/>
      <c r="L844" s="26"/>
      <c r="M844" s="26"/>
      <c r="N844" s="26"/>
    </row>
    <row r="845" spans="5:14" x14ac:dyDescent="0.25">
      <c r="E845" s="26"/>
      <c r="F845" s="26"/>
      <c r="G845" s="26"/>
      <c r="K845" s="26"/>
      <c r="L845" s="26"/>
      <c r="M845" s="26"/>
      <c r="N845" s="26"/>
    </row>
    <row r="846" spans="5:14" x14ac:dyDescent="0.25">
      <c r="E846" s="26"/>
      <c r="F846" s="26"/>
      <c r="G846" s="26"/>
      <c r="K846" s="26"/>
      <c r="L846" s="26"/>
      <c r="M846" s="26"/>
      <c r="N846" s="26"/>
    </row>
    <row r="847" spans="5:14" x14ac:dyDescent="0.25">
      <c r="E847" s="26"/>
      <c r="F847" s="26"/>
      <c r="G847" s="26"/>
      <c r="K847" s="26"/>
      <c r="L847" s="26"/>
      <c r="M847" s="26"/>
      <c r="N847" s="26"/>
    </row>
    <row r="848" spans="5:14" x14ac:dyDescent="0.25">
      <c r="E848" s="26"/>
      <c r="F848" s="26"/>
      <c r="G848" s="26"/>
      <c r="K848" s="26"/>
      <c r="L848" s="26"/>
      <c r="M848" s="26"/>
      <c r="N848" s="26"/>
    </row>
    <row r="849" spans="5:14" x14ac:dyDescent="0.25">
      <c r="E849" s="26"/>
      <c r="F849" s="26"/>
      <c r="G849" s="26"/>
      <c r="K849" s="26"/>
      <c r="L849" s="26"/>
      <c r="M849" s="26"/>
      <c r="N849" s="26"/>
    </row>
    <row r="850" spans="5:14" x14ac:dyDescent="0.25">
      <c r="E850" s="26"/>
      <c r="F850" s="26"/>
      <c r="G850" s="26"/>
      <c r="K850" s="26"/>
      <c r="L850" s="26"/>
      <c r="M850" s="26"/>
      <c r="N850" s="26"/>
    </row>
    <row r="851" spans="5:14" x14ac:dyDescent="0.25">
      <c r="E851" s="26"/>
      <c r="F851" s="26"/>
      <c r="G851" s="26"/>
      <c r="K851" s="26"/>
      <c r="L851" s="26"/>
      <c r="M851" s="26"/>
      <c r="N851" s="26"/>
    </row>
    <row r="852" spans="5:14" x14ac:dyDescent="0.25">
      <c r="E852" s="26"/>
      <c r="F852" s="26"/>
      <c r="G852" s="26"/>
      <c r="K852" s="26"/>
      <c r="L852" s="26"/>
      <c r="M852" s="26"/>
      <c r="N852" s="26"/>
    </row>
    <row r="853" spans="5:14" x14ac:dyDescent="0.25">
      <c r="E853" s="26"/>
      <c r="F853" s="26"/>
      <c r="G853" s="26"/>
      <c r="K853" s="26"/>
      <c r="L853" s="26"/>
      <c r="M853" s="26"/>
      <c r="N853" s="26"/>
    </row>
    <row r="854" spans="5:14" x14ac:dyDescent="0.25">
      <c r="E854" s="26"/>
      <c r="F854" s="26"/>
      <c r="G854" s="26"/>
      <c r="K854" s="26"/>
      <c r="L854" s="26"/>
      <c r="M854" s="26"/>
      <c r="N854" s="26"/>
    </row>
    <row r="855" spans="5:14" x14ac:dyDescent="0.25">
      <c r="E855" s="26"/>
      <c r="F855" s="26"/>
      <c r="G855" s="26"/>
      <c r="K855" s="26"/>
      <c r="L855" s="26"/>
      <c r="M855" s="26"/>
      <c r="N855" s="26"/>
    </row>
    <row r="856" spans="5:14" x14ac:dyDescent="0.25">
      <c r="E856" s="26"/>
      <c r="F856" s="26"/>
      <c r="G856" s="26"/>
      <c r="K856" s="26"/>
      <c r="L856" s="26"/>
      <c r="M856" s="26"/>
      <c r="N856" s="26"/>
    </row>
    <row r="857" spans="5:14" x14ac:dyDescent="0.25">
      <c r="E857" s="26"/>
      <c r="F857" s="26"/>
      <c r="G857" s="26"/>
      <c r="K857" s="26"/>
      <c r="L857" s="26"/>
      <c r="M857" s="26"/>
      <c r="N857" s="26"/>
    </row>
    <row r="858" spans="5:14" x14ac:dyDescent="0.25">
      <c r="E858" s="26"/>
      <c r="F858" s="26"/>
      <c r="G858" s="26"/>
      <c r="K858" s="26"/>
      <c r="L858" s="26"/>
      <c r="M858" s="26"/>
      <c r="N858" s="26"/>
    </row>
    <row r="859" spans="5:14" x14ac:dyDescent="0.25">
      <c r="E859" s="26"/>
      <c r="F859" s="26"/>
      <c r="G859" s="26"/>
      <c r="K859" s="26"/>
      <c r="L859" s="26"/>
      <c r="M859" s="26"/>
      <c r="N859" s="26"/>
    </row>
    <row r="860" spans="5:14" x14ac:dyDescent="0.25">
      <c r="E860" s="26"/>
      <c r="F860" s="26"/>
      <c r="G860" s="26"/>
      <c r="K860" s="26"/>
      <c r="L860" s="26"/>
      <c r="M860" s="26"/>
      <c r="N860" s="26"/>
    </row>
    <row r="861" spans="5:14" x14ac:dyDescent="0.25">
      <c r="E861" s="26"/>
      <c r="F861" s="26"/>
      <c r="G861" s="26"/>
      <c r="K861" s="26"/>
      <c r="L861" s="26"/>
      <c r="M861" s="26"/>
      <c r="N861" s="26"/>
    </row>
    <row r="862" spans="5:14" x14ac:dyDescent="0.25">
      <c r="E862" s="26"/>
      <c r="F862" s="26"/>
      <c r="G862" s="26"/>
      <c r="K862" s="26"/>
      <c r="L862" s="26"/>
      <c r="M862" s="26"/>
      <c r="N862" s="26"/>
    </row>
    <row r="863" spans="5:14" x14ac:dyDescent="0.25">
      <c r="E863" s="26"/>
      <c r="F863" s="26"/>
      <c r="G863" s="26"/>
      <c r="K863" s="26"/>
      <c r="L863" s="26"/>
      <c r="M863" s="26"/>
      <c r="N863" s="26"/>
    </row>
    <row r="864" spans="5:14" x14ac:dyDescent="0.25">
      <c r="E864" s="26"/>
      <c r="F864" s="26"/>
      <c r="G864" s="26"/>
      <c r="K864" s="26"/>
      <c r="L864" s="26"/>
      <c r="M864" s="26"/>
      <c r="N864" s="26"/>
    </row>
    <row r="865" spans="5:14" x14ac:dyDescent="0.25">
      <c r="E865" s="26"/>
      <c r="F865" s="26"/>
      <c r="G865" s="26"/>
      <c r="K865" s="26"/>
      <c r="L865" s="26"/>
      <c r="M865" s="26"/>
      <c r="N865" s="26"/>
    </row>
    <row r="866" spans="5:14" x14ac:dyDescent="0.25">
      <c r="E866" s="26"/>
      <c r="F866" s="26"/>
      <c r="G866" s="26"/>
      <c r="K866" s="26"/>
      <c r="L866" s="26"/>
      <c r="M866" s="26"/>
      <c r="N866" s="26"/>
    </row>
    <row r="867" spans="5:14" x14ac:dyDescent="0.25">
      <c r="E867" s="26"/>
      <c r="F867" s="26"/>
      <c r="G867" s="26"/>
      <c r="K867" s="26"/>
      <c r="L867" s="26"/>
      <c r="M867" s="26"/>
      <c r="N867" s="26"/>
    </row>
    <row r="868" spans="5:14" x14ac:dyDescent="0.25">
      <c r="E868" s="26"/>
      <c r="F868" s="26"/>
      <c r="G868" s="26"/>
      <c r="K868" s="26"/>
      <c r="L868" s="26"/>
      <c r="M868" s="26"/>
      <c r="N868" s="26"/>
    </row>
    <row r="869" spans="5:14" x14ac:dyDescent="0.25">
      <c r="E869" s="26"/>
      <c r="F869" s="26"/>
      <c r="G869" s="26"/>
      <c r="K869" s="26"/>
      <c r="L869" s="26"/>
      <c r="M869" s="26"/>
      <c r="N869" s="26"/>
    </row>
    <row r="870" spans="5:14" x14ac:dyDescent="0.25">
      <c r="E870" s="26"/>
      <c r="F870" s="26"/>
      <c r="G870" s="26"/>
      <c r="K870" s="26"/>
      <c r="L870" s="26"/>
      <c r="M870" s="26"/>
      <c r="N870" s="26"/>
    </row>
    <row r="871" spans="5:14" x14ac:dyDescent="0.25">
      <c r="E871" s="26"/>
      <c r="F871" s="26"/>
      <c r="G871" s="26"/>
      <c r="K871" s="26"/>
      <c r="L871" s="26"/>
      <c r="M871" s="26"/>
      <c r="N871" s="26"/>
    </row>
    <row r="872" spans="5:14" x14ac:dyDescent="0.25">
      <c r="E872" s="26"/>
      <c r="F872" s="26"/>
      <c r="G872" s="26"/>
      <c r="K872" s="26"/>
      <c r="L872" s="26"/>
      <c r="M872" s="26"/>
      <c r="N872" s="26"/>
    </row>
    <row r="873" spans="5:14" x14ac:dyDescent="0.25">
      <c r="E873" s="26"/>
      <c r="F873" s="26"/>
      <c r="G873" s="26"/>
      <c r="K873" s="26"/>
      <c r="L873" s="26"/>
      <c r="M873" s="26"/>
      <c r="N873" s="26"/>
    </row>
    <row r="874" spans="5:14" x14ac:dyDescent="0.25">
      <c r="E874" s="26"/>
      <c r="F874" s="26"/>
      <c r="G874" s="26"/>
      <c r="K874" s="26"/>
      <c r="L874" s="26"/>
      <c r="M874" s="26"/>
      <c r="N874" s="26"/>
    </row>
    <row r="875" spans="5:14" x14ac:dyDescent="0.25">
      <c r="E875" s="26"/>
      <c r="F875" s="26"/>
      <c r="G875" s="26"/>
      <c r="K875" s="26"/>
      <c r="L875" s="26"/>
      <c r="M875" s="26"/>
      <c r="N875" s="26"/>
    </row>
    <row r="876" spans="5:14" x14ac:dyDescent="0.25">
      <c r="E876" s="26"/>
      <c r="F876" s="26"/>
      <c r="G876" s="26"/>
      <c r="K876" s="26"/>
      <c r="L876" s="26"/>
      <c r="M876" s="26"/>
      <c r="N876" s="26"/>
    </row>
    <row r="877" spans="5:14" x14ac:dyDescent="0.25">
      <c r="E877" s="26"/>
      <c r="F877" s="26"/>
      <c r="G877" s="26"/>
      <c r="K877" s="26"/>
      <c r="L877" s="26"/>
      <c r="M877" s="26"/>
      <c r="N877" s="26"/>
    </row>
    <row r="878" spans="5:14" x14ac:dyDescent="0.25">
      <c r="E878" s="26"/>
      <c r="F878" s="26"/>
      <c r="G878" s="26"/>
      <c r="K878" s="26"/>
      <c r="L878" s="26"/>
      <c r="M878" s="26"/>
      <c r="N878" s="26"/>
    </row>
    <row r="879" spans="5:14" x14ac:dyDescent="0.25">
      <c r="E879" s="26"/>
      <c r="F879" s="26"/>
      <c r="G879" s="26"/>
      <c r="K879" s="26"/>
      <c r="L879" s="26"/>
      <c r="M879" s="26"/>
      <c r="N879" s="26"/>
    </row>
    <row r="880" spans="5:14" x14ac:dyDescent="0.25">
      <c r="E880" s="26"/>
      <c r="F880" s="26"/>
      <c r="G880" s="26"/>
      <c r="K880" s="26"/>
      <c r="L880" s="26"/>
      <c r="M880" s="26"/>
      <c r="N880" s="26"/>
    </row>
    <row r="881" spans="5:14" x14ac:dyDescent="0.25">
      <c r="E881" s="26"/>
      <c r="F881" s="26"/>
      <c r="G881" s="26"/>
      <c r="K881" s="26"/>
      <c r="L881" s="26"/>
      <c r="M881" s="26"/>
      <c r="N881" s="26"/>
    </row>
    <row r="882" spans="5:14" x14ac:dyDescent="0.25">
      <c r="E882" s="26"/>
      <c r="F882" s="26"/>
      <c r="G882" s="26"/>
      <c r="K882" s="26"/>
      <c r="L882" s="26"/>
      <c r="M882" s="26"/>
      <c r="N882" s="26"/>
    </row>
    <row r="883" spans="5:14" x14ac:dyDescent="0.25">
      <c r="E883" s="26"/>
      <c r="F883" s="26"/>
      <c r="G883" s="26"/>
      <c r="K883" s="26"/>
      <c r="L883" s="26"/>
      <c r="M883" s="26"/>
      <c r="N883" s="26"/>
    </row>
    <row r="884" spans="5:14" x14ac:dyDescent="0.25">
      <c r="E884" s="26"/>
      <c r="F884" s="26"/>
      <c r="G884" s="26"/>
      <c r="K884" s="26"/>
      <c r="L884" s="26"/>
      <c r="M884" s="26"/>
      <c r="N884" s="26"/>
    </row>
    <row r="885" spans="5:14" x14ac:dyDescent="0.25">
      <c r="E885" s="26"/>
      <c r="F885" s="26"/>
      <c r="G885" s="26"/>
      <c r="K885" s="26"/>
      <c r="L885" s="26"/>
      <c r="M885" s="26"/>
      <c r="N885" s="26"/>
    </row>
    <row r="886" spans="5:14" x14ac:dyDescent="0.25">
      <c r="E886" s="26"/>
      <c r="F886" s="26"/>
      <c r="G886" s="26"/>
      <c r="K886" s="26"/>
      <c r="L886" s="26"/>
      <c r="M886" s="26"/>
      <c r="N886" s="26"/>
    </row>
    <row r="887" spans="5:14" x14ac:dyDescent="0.25">
      <c r="E887" s="26"/>
      <c r="F887" s="26"/>
      <c r="G887" s="26"/>
      <c r="K887" s="26"/>
      <c r="L887" s="26"/>
      <c r="M887" s="26"/>
      <c r="N887" s="26"/>
    </row>
    <row r="888" spans="5:14" x14ac:dyDescent="0.25">
      <c r="E888" s="26"/>
      <c r="F888" s="26"/>
      <c r="G888" s="26"/>
      <c r="K888" s="26"/>
      <c r="L888" s="26"/>
      <c r="M888" s="26"/>
      <c r="N888" s="26"/>
    </row>
    <row r="889" spans="5:14" x14ac:dyDescent="0.25">
      <c r="E889" s="26"/>
      <c r="F889" s="26"/>
      <c r="G889" s="26"/>
      <c r="K889" s="26"/>
      <c r="L889" s="26"/>
      <c r="M889" s="26"/>
      <c r="N889" s="26"/>
    </row>
    <row r="890" spans="5:14" x14ac:dyDescent="0.25">
      <c r="E890" s="26"/>
      <c r="F890" s="26"/>
      <c r="G890" s="26"/>
      <c r="K890" s="26"/>
      <c r="L890" s="26"/>
      <c r="M890" s="26"/>
      <c r="N890" s="26"/>
    </row>
    <row r="891" spans="5:14" x14ac:dyDescent="0.25">
      <c r="E891" s="26"/>
      <c r="F891" s="26"/>
      <c r="G891" s="26"/>
      <c r="K891" s="26"/>
      <c r="L891" s="26"/>
      <c r="M891" s="26"/>
      <c r="N891" s="26"/>
    </row>
    <row r="892" spans="5:14" x14ac:dyDescent="0.25">
      <c r="E892" s="26"/>
      <c r="F892" s="26"/>
      <c r="G892" s="26"/>
      <c r="K892" s="26"/>
      <c r="L892" s="26"/>
      <c r="M892" s="26"/>
      <c r="N892" s="26"/>
    </row>
    <row r="893" spans="5:14" x14ac:dyDescent="0.25">
      <c r="E893" s="26"/>
      <c r="F893" s="26"/>
      <c r="G893" s="26"/>
      <c r="K893" s="26"/>
      <c r="L893" s="26"/>
      <c r="M893" s="26"/>
      <c r="N893" s="26"/>
    </row>
    <row r="894" spans="5:14" x14ac:dyDescent="0.25">
      <c r="E894" s="26"/>
      <c r="F894" s="26"/>
      <c r="G894" s="26"/>
      <c r="K894" s="26"/>
      <c r="L894" s="26"/>
      <c r="M894" s="26"/>
      <c r="N894" s="26"/>
    </row>
    <row r="895" spans="5:14" x14ac:dyDescent="0.25">
      <c r="E895" s="26"/>
      <c r="F895" s="26"/>
      <c r="G895" s="26"/>
      <c r="K895" s="26"/>
      <c r="L895" s="26"/>
      <c r="M895" s="26"/>
      <c r="N895" s="26"/>
    </row>
    <row r="896" spans="5:14" x14ac:dyDescent="0.25">
      <c r="E896" s="26"/>
      <c r="F896" s="26"/>
      <c r="G896" s="26"/>
      <c r="K896" s="26"/>
      <c r="L896" s="26"/>
      <c r="M896" s="26"/>
      <c r="N896" s="26"/>
    </row>
    <row r="897" spans="5:14" x14ac:dyDescent="0.25">
      <c r="E897" s="26"/>
      <c r="F897" s="26"/>
      <c r="G897" s="26"/>
      <c r="K897" s="26"/>
      <c r="L897" s="26"/>
      <c r="M897" s="26"/>
      <c r="N897" s="26"/>
    </row>
    <row r="898" spans="5:14" x14ac:dyDescent="0.25">
      <c r="E898" s="26"/>
      <c r="F898" s="26"/>
      <c r="G898" s="26"/>
      <c r="K898" s="26"/>
      <c r="L898" s="26"/>
      <c r="M898" s="26"/>
      <c r="N898" s="26"/>
    </row>
    <row r="899" spans="5:14" x14ac:dyDescent="0.25">
      <c r="E899" s="26"/>
      <c r="F899" s="26"/>
      <c r="G899" s="26"/>
      <c r="K899" s="26"/>
      <c r="L899" s="26"/>
      <c r="M899" s="26"/>
      <c r="N899" s="26"/>
    </row>
    <row r="900" spans="5:14" x14ac:dyDescent="0.25">
      <c r="E900" s="26"/>
      <c r="F900" s="26"/>
      <c r="G900" s="26"/>
      <c r="K900" s="26"/>
      <c r="L900" s="26"/>
      <c r="M900" s="26"/>
      <c r="N900" s="26"/>
    </row>
    <row r="901" spans="5:14" x14ac:dyDescent="0.25">
      <c r="E901" s="26"/>
      <c r="F901" s="26"/>
      <c r="G901" s="26"/>
      <c r="K901" s="26"/>
      <c r="L901" s="26"/>
      <c r="M901" s="26"/>
      <c r="N901" s="26"/>
    </row>
    <row r="902" spans="5:14" x14ac:dyDescent="0.25">
      <c r="E902" s="26"/>
      <c r="F902" s="26"/>
      <c r="G902" s="26"/>
      <c r="K902" s="26"/>
      <c r="L902" s="26"/>
      <c r="M902" s="26"/>
      <c r="N902" s="26"/>
    </row>
    <row r="903" spans="5:14" x14ac:dyDescent="0.25">
      <c r="E903" s="26"/>
      <c r="F903" s="26"/>
      <c r="G903" s="26"/>
      <c r="K903" s="26"/>
      <c r="L903" s="26"/>
      <c r="M903" s="26"/>
      <c r="N903" s="26"/>
    </row>
    <row r="904" spans="5:14" x14ac:dyDescent="0.25">
      <c r="E904" s="26"/>
      <c r="F904" s="26"/>
      <c r="G904" s="26"/>
      <c r="K904" s="26"/>
      <c r="L904" s="26"/>
      <c r="M904" s="26"/>
      <c r="N904" s="26"/>
    </row>
    <row r="905" spans="5:14" x14ac:dyDescent="0.25">
      <c r="E905" s="26"/>
      <c r="F905" s="26"/>
      <c r="G905" s="26"/>
      <c r="K905" s="26"/>
      <c r="L905" s="26"/>
      <c r="M905" s="26"/>
      <c r="N905" s="26"/>
    </row>
    <row r="906" spans="5:14" x14ac:dyDescent="0.25">
      <c r="E906" s="26"/>
      <c r="F906" s="26"/>
      <c r="G906" s="26"/>
      <c r="K906" s="26"/>
      <c r="L906" s="26"/>
      <c r="M906" s="26"/>
      <c r="N906" s="26"/>
    </row>
    <row r="907" spans="5:14" x14ac:dyDescent="0.25">
      <c r="E907" s="26"/>
      <c r="F907" s="26"/>
      <c r="G907" s="26"/>
      <c r="K907" s="26"/>
      <c r="L907" s="26"/>
      <c r="M907" s="26"/>
      <c r="N907" s="26"/>
    </row>
    <row r="908" spans="5:14" x14ac:dyDescent="0.25">
      <c r="E908" s="26"/>
      <c r="F908" s="26"/>
      <c r="G908" s="26"/>
      <c r="K908" s="26"/>
      <c r="L908" s="26"/>
      <c r="M908" s="26"/>
      <c r="N908" s="26"/>
    </row>
    <row r="909" spans="5:14" x14ac:dyDescent="0.25">
      <c r="E909" s="26"/>
      <c r="F909" s="26"/>
      <c r="G909" s="26"/>
      <c r="K909" s="26"/>
      <c r="L909" s="26"/>
      <c r="M909" s="26"/>
      <c r="N909" s="26"/>
    </row>
    <row r="910" spans="5:14" x14ac:dyDescent="0.25">
      <c r="E910" s="26"/>
      <c r="F910" s="26"/>
      <c r="G910" s="26"/>
      <c r="K910" s="26"/>
      <c r="L910" s="26"/>
      <c r="M910" s="26"/>
      <c r="N910" s="26"/>
    </row>
    <row r="911" spans="5:14" x14ac:dyDescent="0.25">
      <c r="E911" s="26"/>
      <c r="F911" s="26"/>
      <c r="G911" s="26"/>
      <c r="K911" s="26"/>
      <c r="L911" s="26"/>
      <c r="M911" s="26"/>
      <c r="N911" s="26"/>
    </row>
    <row r="912" spans="5:14" x14ac:dyDescent="0.25">
      <c r="E912" s="26"/>
      <c r="F912" s="26"/>
      <c r="G912" s="26"/>
      <c r="K912" s="26"/>
      <c r="L912" s="26"/>
      <c r="M912" s="26"/>
      <c r="N912" s="26"/>
    </row>
    <row r="913" spans="5:14" x14ac:dyDescent="0.25">
      <c r="E913" s="26"/>
      <c r="F913" s="26"/>
      <c r="G913" s="26"/>
      <c r="K913" s="26"/>
      <c r="L913" s="26"/>
      <c r="M913" s="26"/>
      <c r="N913" s="26"/>
    </row>
    <row r="914" spans="5:14" x14ac:dyDescent="0.25">
      <c r="E914" s="26"/>
      <c r="F914" s="26"/>
      <c r="G914" s="26"/>
      <c r="K914" s="26"/>
      <c r="L914" s="26"/>
      <c r="M914" s="26"/>
      <c r="N914" s="26"/>
    </row>
    <row r="915" spans="5:14" x14ac:dyDescent="0.25">
      <c r="E915" s="26"/>
      <c r="F915" s="26"/>
      <c r="G915" s="26"/>
      <c r="K915" s="26"/>
      <c r="L915" s="26"/>
      <c r="M915" s="26"/>
      <c r="N915" s="26"/>
    </row>
    <row r="916" spans="5:14" x14ac:dyDescent="0.25">
      <c r="E916" s="26"/>
      <c r="F916" s="26"/>
      <c r="G916" s="26"/>
      <c r="K916" s="26"/>
      <c r="L916" s="26"/>
      <c r="M916" s="26"/>
      <c r="N916" s="26"/>
    </row>
    <row r="917" spans="5:14" x14ac:dyDescent="0.25">
      <c r="E917" s="26"/>
      <c r="F917" s="26"/>
      <c r="G917" s="26"/>
      <c r="K917" s="26"/>
      <c r="L917" s="26"/>
      <c r="M917" s="26"/>
      <c r="N917" s="26"/>
    </row>
    <row r="918" spans="5:14" x14ac:dyDescent="0.25">
      <c r="E918" s="26"/>
      <c r="F918" s="26"/>
      <c r="G918" s="26"/>
      <c r="K918" s="26"/>
      <c r="L918" s="26"/>
      <c r="M918" s="26"/>
      <c r="N918" s="26"/>
    </row>
    <row r="919" spans="5:14" x14ac:dyDescent="0.25">
      <c r="E919" s="26"/>
      <c r="F919" s="26"/>
      <c r="G919" s="26"/>
      <c r="K919" s="26"/>
      <c r="L919" s="26"/>
      <c r="M919" s="26"/>
      <c r="N919" s="26"/>
    </row>
    <row r="920" spans="5:14" x14ac:dyDescent="0.25">
      <c r="E920" s="26"/>
      <c r="F920" s="26"/>
      <c r="G920" s="26"/>
      <c r="K920" s="26"/>
      <c r="L920" s="26"/>
      <c r="M920" s="26"/>
      <c r="N920" s="26"/>
    </row>
    <row r="921" spans="5:14" x14ac:dyDescent="0.25">
      <c r="E921" s="26"/>
      <c r="F921" s="26"/>
      <c r="G921" s="26"/>
      <c r="K921" s="26"/>
      <c r="L921" s="26"/>
      <c r="M921" s="26"/>
      <c r="N921" s="26"/>
    </row>
    <row r="922" spans="5:14" x14ac:dyDescent="0.25">
      <c r="E922" s="26"/>
      <c r="F922" s="26"/>
      <c r="G922" s="26"/>
      <c r="K922" s="26"/>
      <c r="L922" s="26"/>
      <c r="M922" s="26"/>
      <c r="N922" s="26"/>
    </row>
    <row r="923" spans="5:14" x14ac:dyDescent="0.25">
      <c r="E923" s="26"/>
      <c r="F923" s="26"/>
      <c r="G923" s="26"/>
      <c r="K923" s="26"/>
      <c r="L923" s="26"/>
      <c r="M923" s="26"/>
      <c r="N923" s="26"/>
    </row>
    <row r="924" spans="5:14" x14ac:dyDescent="0.25">
      <c r="E924" s="26"/>
      <c r="F924" s="26"/>
      <c r="G924" s="26"/>
      <c r="K924" s="26"/>
      <c r="L924" s="26"/>
      <c r="M924" s="26"/>
      <c r="N924" s="26"/>
    </row>
    <row r="925" spans="5:14" x14ac:dyDescent="0.25">
      <c r="E925" s="26"/>
      <c r="F925" s="26"/>
      <c r="G925" s="26"/>
      <c r="K925" s="26"/>
      <c r="L925" s="26"/>
      <c r="M925" s="26"/>
      <c r="N925" s="26"/>
    </row>
    <row r="926" spans="5:14" x14ac:dyDescent="0.25">
      <c r="E926" s="26"/>
      <c r="F926" s="26"/>
      <c r="G926" s="26"/>
      <c r="K926" s="26"/>
      <c r="L926" s="26"/>
      <c r="M926" s="26"/>
      <c r="N926" s="26"/>
    </row>
    <row r="927" spans="5:14" x14ac:dyDescent="0.25">
      <c r="E927" s="26"/>
      <c r="F927" s="26"/>
      <c r="G927" s="26"/>
      <c r="K927" s="26"/>
      <c r="L927" s="26"/>
      <c r="M927" s="26"/>
      <c r="N927" s="26"/>
    </row>
    <row r="928" spans="5:14" x14ac:dyDescent="0.25">
      <c r="E928" s="26"/>
      <c r="F928" s="26"/>
      <c r="G928" s="26"/>
      <c r="K928" s="26"/>
      <c r="L928" s="26"/>
      <c r="M928" s="26"/>
      <c r="N928" s="26"/>
    </row>
    <row r="929" spans="5:14" x14ac:dyDescent="0.25">
      <c r="E929" s="26"/>
      <c r="F929" s="26"/>
      <c r="G929" s="26"/>
      <c r="K929" s="26"/>
      <c r="L929" s="26"/>
      <c r="M929" s="26"/>
      <c r="N929" s="26"/>
    </row>
    <row r="930" spans="5:14" x14ac:dyDescent="0.25">
      <c r="E930" s="26"/>
      <c r="F930" s="26"/>
      <c r="G930" s="26"/>
      <c r="K930" s="26"/>
      <c r="L930" s="26"/>
      <c r="M930" s="26"/>
      <c r="N930" s="26"/>
    </row>
    <row r="931" spans="5:14" x14ac:dyDescent="0.25">
      <c r="E931" s="26"/>
      <c r="F931" s="26"/>
      <c r="G931" s="26"/>
      <c r="K931" s="26"/>
      <c r="L931" s="26"/>
      <c r="M931" s="26"/>
      <c r="N931" s="26"/>
    </row>
    <row r="932" spans="5:14" x14ac:dyDescent="0.25">
      <c r="E932" s="26"/>
      <c r="F932" s="26"/>
      <c r="G932" s="26"/>
      <c r="K932" s="26"/>
      <c r="L932" s="26"/>
      <c r="M932" s="26"/>
      <c r="N932" s="26"/>
    </row>
    <row r="933" spans="5:14" x14ac:dyDescent="0.25">
      <c r="E933" s="26"/>
      <c r="F933" s="26"/>
      <c r="G933" s="26"/>
      <c r="K933" s="26"/>
      <c r="L933" s="26"/>
      <c r="M933" s="26"/>
      <c r="N933" s="26"/>
    </row>
    <row r="934" spans="5:14" x14ac:dyDescent="0.25">
      <c r="E934" s="26"/>
      <c r="F934" s="26"/>
      <c r="G934" s="26"/>
      <c r="K934" s="26"/>
      <c r="L934" s="26"/>
      <c r="M934" s="26"/>
      <c r="N934" s="26"/>
    </row>
    <row r="935" spans="5:14" x14ac:dyDescent="0.25">
      <c r="E935" s="26"/>
      <c r="F935" s="26"/>
      <c r="G935" s="26"/>
      <c r="K935" s="26"/>
      <c r="L935" s="26"/>
      <c r="M935" s="26"/>
      <c r="N935" s="26"/>
    </row>
    <row r="936" spans="5:14" x14ac:dyDescent="0.25">
      <c r="E936" s="26"/>
      <c r="F936" s="26"/>
      <c r="G936" s="26"/>
      <c r="K936" s="26"/>
      <c r="L936" s="26"/>
      <c r="M936" s="26"/>
      <c r="N936" s="26"/>
    </row>
    <row r="937" spans="5:14" x14ac:dyDescent="0.25">
      <c r="E937" s="26"/>
      <c r="F937" s="26"/>
      <c r="G937" s="26"/>
      <c r="K937" s="26"/>
      <c r="L937" s="26"/>
      <c r="M937" s="26"/>
      <c r="N937" s="26"/>
    </row>
    <row r="938" spans="5:14" x14ac:dyDescent="0.25">
      <c r="E938" s="26"/>
      <c r="F938" s="26"/>
      <c r="G938" s="26"/>
      <c r="K938" s="26"/>
      <c r="L938" s="26"/>
      <c r="M938" s="26"/>
      <c r="N938" s="26"/>
    </row>
    <row r="939" spans="5:14" x14ac:dyDescent="0.25">
      <c r="E939" s="26"/>
      <c r="F939" s="26"/>
      <c r="G939" s="26"/>
      <c r="K939" s="26"/>
      <c r="L939" s="26"/>
      <c r="M939" s="26"/>
      <c r="N939" s="26"/>
    </row>
    <row r="940" spans="5:14" x14ac:dyDescent="0.25">
      <c r="E940" s="26"/>
      <c r="F940" s="26"/>
      <c r="G940" s="26"/>
      <c r="K940" s="26"/>
      <c r="L940" s="26"/>
      <c r="M940" s="26"/>
      <c r="N940" s="26"/>
    </row>
    <row r="941" spans="5:14" x14ac:dyDescent="0.25">
      <c r="E941" s="26"/>
      <c r="F941" s="26"/>
      <c r="G941" s="26"/>
      <c r="K941" s="26"/>
      <c r="L941" s="26"/>
      <c r="M941" s="26"/>
      <c r="N941" s="26"/>
    </row>
    <row r="942" spans="5:14" x14ac:dyDescent="0.25">
      <c r="E942" s="26"/>
      <c r="F942" s="26"/>
      <c r="G942" s="26"/>
      <c r="K942" s="26"/>
      <c r="L942" s="26"/>
      <c r="M942" s="26"/>
      <c r="N942" s="26"/>
    </row>
    <row r="943" spans="5:14" x14ac:dyDescent="0.25">
      <c r="E943" s="26"/>
      <c r="F943" s="26"/>
      <c r="G943" s="26"/>
      <c r="K943" s="26"/>
      <c r="L943" s="26"/>
      <c r="M943" s="26"/>
      <c r="N943" s="26"/>
    </row>
    <row r="944" spans="5:14" x14ac:dyDescent="0.25">
      <c r="E944" s="26"/>
      <c r="F944" s="26"/>
      <c r="G944" s="26"/>
      <c r="K944" s="26"/>
      <c r="L944" s="26"/>
      <c r="M944" s="26"/>
      <c r="N944" s="26"/>
    </row>
    <row r="945" spans="5:14" x14ac:dyDescent="0.25">
      <c r="E945" s="26"/>
      <c r="F945" s="26"/>
      <c r="G945" s="26"/>
      <c r="K945" s="26"/>
      <c r="L945" s="26"/>
      <c r="M945" s="26"/>
      <c r="N945" s="26"/>
    </row>
    <row r="946" spans="5:14" x14ac:dyDescent="0.25">
      <c r="E946" s="26"/>
      <c r="F946" s="26"/>
      <c r="G946" s="26"/>
      <c r="K946" s="26"/>
      <c r="L946" s="26"/>
      <c r="M946" s="26"/>
      <c r="N946" s="26"/>
    </row>
    <row r="947" spans="5:14" x14ac:dyDescent="0.25">
      <c r="E947" s="26"/>
      <c r="F947" s="26"/>
      <c r="G947" s="26"/>
      <c r="K947" s="26"/>
      <c r="L947" s="26"/>
      <c r="M947" s="26"/>
      <c r="N947" s="26"/>
    </row>
    <row r="948" spans="5:14" x14ac:dyDescent="0.25">
      <c r="E948" s="26"/>
      <c r="F948" s="26"/>
      <c r="G948" s="26"/>
      <c r="K948" s="26"/>
      <c r="L948" s="26"/>
      <c r="M948" s="26"/>
      <c r="N948" s="26"/>
    </row>
    <row r="949" spans="5:14" x14ac:dyDescent="0.25">
      <c r="E949" s="26"/>
      <c r="F949" s="26"/>
      <c r="G949" s="26"/>
      <c r="K949" s="26"/>
      <c r="L949" s="26"/>
      <c r="M949" s="26"/>
      <c r="N949" s="26"/>
    </row>
    <row r="950" spans="5:14" x14ac:dyDescent="0.25">
      <c r="E950" s="26"/>
      <c r="F950" s="26"/>
      <c r="G950" s="26"/>
      <c r="K950" s="26"/>
      <c r="L950" s="26"/>
      <c r="M950" s="26"/>
      <c r="N950" s="26"/>
    </row>
    <row r="951" spans="5:14" x14ac:dyDescent="0.25">
      <c r="E951" s="26"/>
      <c r="F951" s="26"/>
      <c r="G951" s="26"/>
      <c r="K951" s="26"/>
      <c r="L951" s="26"/>
      <c r="M951" s="26"/>
      <c r="N951" s="26"/>
    </row>
    <row r="952" spans="5:14" x14ac:dyDescent="0.25">
      <c r="E952" s="26"/>
      <c r="F952" s="26"/>
      <c r="G952" s="26"/>
      <c r="K952" s="26"/>
      <c r="L952" s="26"/>
      <c r="M952" s="26"/>
      <c r="N952" s="26"/>
    </row>
    <row r="953" spans="5:14" x14ac:dyDescent="0.25">
      <c r="E953" s="26"/>
      <c r="F953" s="26"/>
      <c r="G953" s="26"/>
      <c r="K953" s="26"/>
      <c r="L953" s="26"/>
      <c r="M953" s="26"/>
      <c r="N953" s="26"/>
    </row>
    <row r="954" spans="5:14" x14ac:dyDescent="0.25">
      <c r="E954" s="26"/>
      <c r="F954" s="26"/>
      <c r="G954" s="26"/>
      <c r="K954" s="26"/>
      <c r="L954" s="26"/>
      <c r="M954" s="26"/>
      <c r="N954" s="26"/>
    </row>
    <row r="955" spans="5:14" x14ac:dyDescent="0.25">
      <c r="E955" s="26"/>
      <c r="F955" s="26"/>
      <c r="G955" s="26"/>
      <c r="K955" s="26"/>
      <c r="L955" s="26"/>
      <c r="M955" s="26"/>
      <c r="N955" s="26"/>
    </row>
    <row r="956" spans="5:14" x14ac:dyDescent="0.25">
      <c r="E956" s="26"/>
      <c r="F956" s="26"/>
      <c r="G956" s="26"/>
      <c r="K956" s="26"/>
      <c r="L956" s="26"/>
      <c r="M956" s="26"/>
      <c r="N956" s="26"/>
    </row>
    <row r="957" spans="5:14" x14ac:dyDescent="0.25">
      <c r="E957" s="26"/>
      <c r="F957" s="26"/>
      <c r="G957" s="26"/>
      <c r="K957" s="26"/>
      <c r="L957" s="26"/>
      <c r="M957" s="26"/>
      <c r="N957" s="26"/>
    </row>
    <row r="958" spans="5:14" x14ac:dyDescent="0.25">
      <c r="E958" s="26"/>
      <c r="F958" s="26"/>
      <c r="G958" s="26"/>
      <c r="K958" s="26"/>
      <c r="L958" s="26"/>
      <c r="M958" s="26"/>
      <c r="N958" s="26"/>
    </row>
    <row r="959" spans="5:14" x14ac:dyDescent="0.25">
      <c r="E959" s="26"/>
      <c r="F959" s="26"/>
      <c r="G959" s="26"/>
      <c r="K959" s="26"/>
      <c r="L959" s="26"/>
      <c r="M959" s="26"/>
      <c r="N959" s="26"/>
    </row>
    <row r="960" spans="5:14" x14ac:dyDescent="0.25">
      <c r="E960" s="26"/>
      <c r="F960" s="26"/>
      <c r="G960" s="26"/>
      <c r="K960" s="26"/>
      <c r="L960" s="26"/>
      <c r="M960" s="26"/>
      <c r="N960" s="26"/>
    </row>
    <row r="961" spans="5:14" x14ac:dyDescent="0.25">
      <c r="E961" s="26"/>
      <c r="F961" s="26"/>
      <c r="G961" s="26"/>
      <c r="K961" s="26"/>
      <c r="L961" s="26"/>
      <c r="M961" s="26"/>
      <c r="N961" s="26"/>
    </row>
    <row r="962" spans="5:14" x14ac:dyDescent="0.25">
      <c r="E962" s="26"/>
      <c r="F962" s="26"/>
      <c r="G962" s="26"/>
      <c r="K962" s="26"/>
      <c r="L962" s="26"/>
      <c r="M962" s="26"/>
      <c r="N962" s="26"/>
    </row>
    <row r="963" spans="5:14" x14ac:dyDescent="0.25">
      <c r="E963" s="26"/>
      <c r="F963" s="26"/>
      <c r="G963" s="26"/>
      <c r="K963" s="26"/>
      <c r="L963" s="26"/>
      <c r="M963" s="26"/>
      <c r="N963" s="26"/>
    </row>
    <row r="964" spans="5:14" x14ac:dyDescent="0.25">
      <c r="E964" s="26"/>
      <c r="F964" s="26"/>
      <c r="G964" s="26"/>
      <c r="K964" s="26"/>
      <c r="L964" s="26"/>
      <c r="M964" s="26"/>
      <c r="N964" s="26"/>
    </row>
    <row r="965" spans="5:14" x14ac:dyDescent="0.25">
      <c r="E965" s="26"/>
      <c r="F965" s="26"/>
      <c r="G965" s="26"/>
      <c r="K965" s="26"/>
      <c r="L965" s="26"/>
      <c r="M965" s="26"/>
      <c r="N965" s="26"/>
    </row>
    <row r="966" spans="5:14" x14ac:dyDescent="0.25">
      <c r="E966" s="26"/>
      <c r="F966" s="26"/>
      <c r="G966" s="26"/>
      <c r="K966" s="26"/>
      <c r="L966" s="26"/>
      <c r="M966" s="26"/>
      <c r="N966" s="26"/>
    </row>
    <row r="967" spans="5:14" x14ac:dyDescent="0.25">
      <c r="E967" s="26"/>
      <c r="F967" s="26"/>
      <c r="G967" s="26"/>
      <c r="K967" s="26"/>
      <c r="L967" s="26"/>
      <c r="M967" s="26"/>
      <c r="N967" s="26"/>
    </row>
    <row r="968" spans="5:14" x14ac:dyDescent="0.25">
      <c r="E968" s="26"/>
      <c r="F968" s="26"/>
      <c r="G968" s="26"/>
      <c r="K968" s="26"/>
      <c r="L968" s="26"/>
      <c r="M968" s="26"/>
      <c r="N968" s="26"/>
    </row>
    <row r="969" spans="5:14" x14ac:dyDescent="0.25">
      <c r="E969" s="26"/>
      <c r="F969" s="26"/>
      <c r="G969" s="26"/>
      <c r="K969" s="26"/>
      <c r="L969" s="26"/>
      <c r="M969" s="26"/>
      <c r="N969" s="26"/>
    </row>
    <row r="970" spans="5:14" x14ac:dyDescent="0.25">
      <c r="E970" s="26"/>
      <c r="F970" s="26"/>
      <c r="G970" s="26"/>
      <c r="K970" s="26"/>
      <c r="L970" s="26"/>
      <c r="M970" s="26"/>
      <c r="N970" s="26"/>
    </row>
    <row r="971" spans="5:14" x14ac:dyDescent="0.25">
      <c r="E971" s="26"/>
      <c r="F971" s="26"/>
      <c r="G971" s="26"/>
      <c r="K971" s="26"/>
      <c r="L971" s="26"/>
      <c r="M971" s="26"/>
      <c r="N971" s="26"/>
    </row>
    <row r="972" spans="5:14" x14ac:dyDescent="0.25">
      <c r="E972" s="26"/>
      <c r="F972" s="26"/>
      <c r="G972" s="26"/>
      <c r="K972" s="26"/>
      <c r="L972" s="26"/>
      <c r="M972" s="26"/>
      <c r="N972" s="26"/>
    </row>
    <row r="973" spans="5:14" x14ac:dyDescent="0.25">
      <c r="E973" s="26"/>
      <c r="F973" s="26"/>
      <c r="G973" s="26"/>
      <c r="K973" s="26"/>
      <c r="L973" s="26"/>
      <c r="M973" s="26"/>
      <c r="N973" s="26"/>
    </row>
    <row r="974" spans="5:14" x14ac:dyDescent="0.25">
      <c r="E974" s="26"/>
      <c r="F974" s="26"/>
      <c r="G974" s="26"/>
      <c r="K974" s="26"/>
      <c r="L974" s="26"/>
      <c r="M974" s="26"/>
      <c r="N974" s="26"/>
    </row>
    <row r="975" spans="5:14" x14ac:dyDescent="0.25">
      <c r="E975" s="26"/>
      <c r="F975" s="26"/>
      <c r="G975" s="26"/>
      <c r="K975" s="26"/>
      <c r="L975" s="26"/>
      <c r="M975" s="26"/>
      <c r="N975" s="26"/>
    </row>
    <row r="976" spans="5:14" x14ac:dyDescent="0.25">
      <c r="E976" s="26"/>
      <c r="F976" s="26"/>
      <c r="G976" s="26"/>
      <c r="K976" s="26"/>
      <c r="L976" s="26"/>
      <c r="M976" s="26"/>
      <c r="N976" s="26"/>
    </row>
    <row r="977" spans="5:14" x14ac:dyDescent="0.25">
      <c r="E977" s="26"/>
      <c r="F977" s="26"/>
      <c r="G977" s="26"/>
      <c r="K977" s="26"/>
      <c r="L977" s="26"/>
      <c r="M977" s="26"/>
      <c r="N977" s="26"/>
    </row>
    <row r="978" spans="5:14" x14ac:dyDescent="0.25">
      <c r="E978" s="26"/>
      <c r="F978" s="26"/>
      <c r="G978" s="26"/>
      <c r="K978" s="26"/>
      <c r="L978" s="26"/>
      <c r="M978" s="26"/>
      <c r="N978" s="26"/>
    </row>
    <row r="979" spans="5:14" x14ac:dyDescent="0.25">
      <c r="E979" s="26"/>
      <c r="F979" s="26"/>
      <c r="G979" s="26"/>
      <c r="K979" s="26"/>
      <c r="L979" s="26"/>
      <c r="M979" s="26"/>
      <c r="N979" s="26"/>
    </row>
    <row r="980" spans="5:14" x14ac:dyDescent="0.25">
      <c r="E980" s="26"/>
      <c r="F980" s="26"/>
      <c r="G980" s="26"/>
      <c r="K980" s="26"/>
      <c r="L980" s="26"/>
      <c r="M980" s="26"/>
      <c r="N980" s="26"/>
    </row>
    <row r="981" spans="5:14" x14ac:dyDescent="0.25">
      <c r="E981" s="26"/>
      <c r="F981" s="26"/>
      <c r="G981" s="26"/>
      <c r="K981" s="26"/>
      <c r="L981" s="26"/>
      <c r="M981" s="26"/>
      <c r="N981" s="26"/>
    </row>
    <row r="982" spans="5:14" x14ac:dyDescent="0.25">
      <c r="E982" s="26"/>
      <c r="F982" s="26"/>
      <c r="G982" s="26"/>
      <c r="K982" s="26"/>
      <c r="L982" s="26"/>
      <c r="M982" s="26"/>
      <c r="N982" s="26"/>
    </row>
    <row r="983" spans="5:14" x14ac:dyDescent="0.25">
      <c r="E983" s="26"/>
      <c r="F983" s="26"/>
      <c r="G983" s="26"/>
      <c r="K983" s="26"/>
      <c r="L983" s="26"/>
      <c r="M983" s="26"/>
      <c r="N983" s="26"/>
    </row>
    <row r="984" spans="5:14" x14ac:dyDescent="0.25">
      <c r="E984" s="26"/>
      <c r="F984" s="26"/>
      <c r="G984" s="26"/>
      <c r="K984" s="26"/>
      <c r="L984" s="26"/>
      <c r="M984" s="26"/>
      <c r="N984" s="26"/>
    </row>
    <row r="985" spans="5:14" x14ac:dyDescent="0.25">
      <c r="E985" s="26"/>
      <c r="F985" s="26"/>
      <c r="G985" s="26"/>
      <c r="K985" s="26"/>
      <c r="L985" s="26"/>
      <c r="M985" s="26"/>
      <c r="N985" s="26"/>
    </row>
    <row r="986" spans="5:14" x14ac:dyDescent="0.25">
      <c r="E986" s="26"/>
      <c r="F986" s="26"/>
      <c r="G986" s="26"/>
      <c r="K986" s="26"/>
      <c r="L986" s="26"/>
      <c r="M986" s="26"/>
      <c r="N986" s="26"/>
    </row>
    <row r="987" spans="5:14" x14ac:dyDescent="0.25">
      <c r="E987" s="26"/>
      <c r="F987" s="26"/>
      <c r="G987" s="26"/>
      <c r="K987" s="26"/>
      <c r="L987" s="26"/>
      <c r="M987" s="26"/>
      <c r="N987" s="26"/>
    </row>
    <row r="988" spans="5:14" x14ac:dyDescent="0.25">
      <c r="E988" s="26"/>
      <c r="F988" s="26"/>
      <c r="G988" s="26"/>
      <c r="K988" s="26"/>
      <c r="L988" s="26"/>
      <c r="M988" s="26"/>
      <c r="N988" s="26"/>
    </row>
    <row r="989" spans="5:14" x14ac:dyDescent="0.25">
      <c r="E989" s="26"/>
      <c r="F989" s="26"/>
      <c r="G989" s="26"/>
      <c r="K989" s="26"/>
      <c r="L989" s="26"/>
      <c r="M989" s="26"/>
      <c r="N989" s="26"/>
    </row>
    <row r="990" spans="5:14" x14ac:dyDescent="0.25">
      <c r="E990" s="26"/>
      <c r="F990" s="26"/>
      <c r="G990" s="26"/>
      <c r="K990" s="26"/>
      <c r="L990" s="26"/>
      <c r="M990" s="26"/>
      <c r="N990" s="26"/>
    </row>
    <row r="991" spans="5:14" x14ac:dyDescent="0.25">
      <c r="E991" s="26"/>
      <c r="F991" s="26"/>
      <c r="G991" s="26"/>
      <c r="K991" s="26"/>
      <c r="L991" s="26"/>
      <c r="M991" s="26"/>
      <c r="N991" s="26"/>
    </row>
    <row r="992" spans="5:14" x14ac:dyDescent="0.25">
      <c r="E992" s="26"/>
      <c r="F992" s="26"/>
      <c r="G992" s="26"/>
      <c r="K992" s="26"/>
      <c r="L992" s="26"/>
      <c r="M992" s="26"/>
      <c r="N992" s="26"/>
    </row>
    <row r="993" spans="5:14" x14ac:dyDescent="0.25">
      <c r="E993" s="26"/>
      <c r="F993" s="26"/>
      <c r="G993" s="26"/>
      <c r="K993" s="26"/>
      <c r="L993" s="26"/>
      <c r="M993" s="26"/>
      <c r="N993" s="26"/>
    </row>
    <row r="994" spans="5:14" x14ac:dyDescent="0.25">
      <c r="E994" s="26"/>
      <c r="F994" s="26"/>
      <c r="G994" s="26"/>
      <c r="K994" s="26"/>
      <c r="L994" s="26"/>
      <c r="M994" s="26"/>
      <c r="N994" s="26"/>
    </row>
    <row r="995" spans="5:14" x14ac:dyDescent="0.25">
      <c r="E995" s="26"/>
      <c r="F995" s="26"/>
      <c r="G995" s="26"/>
      <c r="K995" s="26"/>
      <c r="L995" s="26"/>
      <c r="M995" s="26"/>
      <c r="N995" s="26"/>
    </row>
    <row r="996" spans="5:14" x14ac:dyDescent="0.25">
      <c r="E996" s="26"/>
      <c r="F996" s="26"/>
      <c r="G996" s="26"/>
      <c r="K996" s="26"/>
      <c r="L996" s="26"/>
      <c r="M996" s="26"/>
      <c r="N996" s="26"/>
    </row>
    <row r="997" spans="5:14" x14ac:dyDescent="0.25">
      <c r="E997" s="26"/>
      <c r="F997" s="26"/>
      <c r="G997" s="26"/>
      <c r="K997" s="26"/>
      <c r="L997" s="26"/>
      <c r="M997" s="26"/>
      <c r="N997" s="26"/>
    </row>
    <row r="998" spans="5:14" x14ac:dyDescent="0.25">
      <c r="E998" s="26"/>
      <c r="F998" s="26"/>
      <c r="G998" s="26"/>
      <c r="K998" s="26"/>
      <c r="L998" s="26"/>
      <c r="M998" s="26"/>
      <c r="N998" s="26"/>
    </row>
    <row r="999" spans="5:14" x14ac:dyDescent="0.25">
      <c r="E999" s="26"/>
      <c r="F999" s="26"/>
      <c r="G999" s="26"/>
      <c r="K999" s="26"/>
      <c r="L999" s="26"/>
      <c r="M999" s="26"/>
      <c r="N999" s="26"/>
    </row>
    <row r="1000" spans="5:14" x14ac:dyDescent="0.25">
      <c r="E1000" s="26"/>
      <c r="F1000" s="26"/>
      <c r="G1000" s="26"/>
      <c r="K1000" s="26"/>
      <c r="L1000" s="26"/>
      <c r="M1000" s="26"/>
      <c r="N1000" s="26"/>
    </row>
    <row r="1001" spans="5:14" x14ac:dyDescent="0.25">
      <c r="E1001" s="26"/>
      <c r="F1001" s="26"/>
      <c r="G1001" s="26"/>
      <c r="K1001" s="26"/>
      <c r="L1001" s="26"/>
      <c r="M1001" s="26"/>
      <c r="N1001" s="26"/>
    </row>
    <row r="1002" spans="5:14" x14ac:dyDescent="0.25">
      <c r="E1002" s="26"/>
      <c r="F1002" s="26"/>
      <c r="G1002" s="26"/>
      <c r="K1002" s="26"/>
      <c r="L1002" s="26"/>
      <c r="M1002" s="26"/>
      <c r="N1002" s="26"/>
    </row>
    <row r="1003" spans="5:14" x14ac:dyDescent="0.25">
      <c r="E1003" s="26"/>
      <c r="F1003" s="26"/>
      <c r="G1003" s="26"/>
      <c r="K1003" s="26"/>
      <c r="L1003" s="26"/>
      <c r="M1003" s="26"/>
      <c r="N1003" s="26"/>
    </row>
    <row r="1004" spans="5:14" x14ac:dyDescent="0.25">
      <c r="E1004" s="26"/>
      <c r="F1004" s="26"/>
      <c r="G1004" s="26"/>
      <c r="K1004" s="26"/>
      <c r="L1004" s="26"/>
      <c r="M1004" s="26"/>
      <c r="N1004" s="26"/>
    </row>
    <row r="1005" spans="5:14" x14ac:dyDescent="0.25">
      <c r="E1005" s="26"/>
      <c r="F1005" s="26"/>
      <c r="G1005" s="26"/>
      <c r="K1005" s="26"/>
      <c r="L1005" s="26"/>
      <c r="M1005" s="26"/>
      <c r="N1005" s="26"/>
    </row>
  </sheetData>
  <mergeCells count="18">
    <mergeCell ref="A5:A6"/>
    <mergeCell ref="AC1:AD1"/>
    <mergeCell ref="AE1:AF1"/>
    <mergeCell ref="B5:B6"/>
    <mergeCell ref="C5:C6"/>
    <mergeCell ref="C1:D1"/>
    <mergeCell ref="C3:D3"/>
    <mergeCell ref="H5:J5"/>
    <mergeCell ref="A3:B3"/>
    <mergeCell ref="J3:O3"/>
    <mergeCell ref="K5:M5"/>
    <mergeCell ref="O5:O6"/>
    <mergeCell ref="N5:N6"/>
    <mergeCell ref="E3:F3"/>
    <mergeCell ref="G3:H3"/>
    <mergeCell ref="A1:B1"/>
    <mergeCell ref="E5:G5"/>
    <mergeCell ref="D5:D6"/>
  </mergeCells>
  <conditionalFormatting sqref="G7:G500">
    <cfRule type="cellIs" dxfId="35" priority="6" operator="equal">
      <formula>0</formula>
    </cfRule>
    <cfRule type="cellIs" dxfId="34" priority="7" operator="greaterThanOrEqual">
      <formula>0.24</formula>
    </cfRule>
    <cfRule type="cellIs" dxfId="33" priority="8" operator="greaterThan">
      <formula>0.08</formula>
    </cfRule>
    <cfRule type="cellIs" dxfId="32" priority="9" operator="greaterThanOrEqual">
      <formula>0.01</formula>
    </cfRule>
  </conditionalFormatting>
  <conditionalFormatting sqref="M7:M500">
    <cfRule type="cellIs" dxfId="31" priority="1" operator="equal">
      <formula>0</formula>
    </cfRule>
    <cfRule type="cellIs" dxfId="30" priority="2" operator="greaterThanOrEqual">
      <formula>0.24</formula>
    </cfRule>
    <cfRule type="cellIs" dxfId="29" priority="3" operator="greaterThanOrEqual">
      <formula>0.08</formula>
    </cfRule>
    <cfRule type="cellIs" dxfId="28" priority="4" operator="greaterThanOrEqual">
      <formula>0.01</formula>
    </cfRule>
  </conditionalFormatting>
  <dataValidations count="7">
    <dataValidation type="list" allowBlank="1" showInputMessage="1" showErrorMessage="1" sqref="A3" xr:uid="{411FF4CD-4FB0-4B7B-AAA0-4257439A1BD5}">
      <formula1>"Process:,Product:,Project:"</formula1>
    </dataValidation>
    <dataValidation type="list" allowBlank="1" sqref="B7:B500" xr:uid="{8BDE0888-A59B-40D2-99CB-E3EACDD4670A}">
      <formula1>"Performance: Requirements, Performance: Operations, Performance: Supportability, Schedule, Cost"</formula1>
    </dataValidation>
    <dataValidation type="list" allowBlank="1" showInputMessage="1" showErrorMessage="1" sqref="E7:E500 K7:K500" xr:uid="{9760A558-F6DE-4D4E-91F2-0EB428B72169}">
      <formula1>"Nil,Very Low,Low,Medium,High,Very High"</formula1>
    </dataValidation>
    <dataValidation type="list" allowBlank="1" showInputMessage="1" showErrorMessage="1" sqref="F7:F500 L7:L500" xr:uid="{84537C19-6835-455E-8257-D877D27F2D5A}">
      <formula1>$AE$2:$AE$6</formula1>
    </dataValidation>
    <dataValidation type="list" allowBlank="1" sqref="C7:C500" xr:uid="{61C63BA9-C0EA-46F3-87B1-E77720C9067F}">
      <formula1>"Threat, Opportunity"</formula1>
    </dataValidation>
    <dataValidation type="list" allowBlank="1" showInputMessage="1" showErrorMessage="1" sqref="N7:N500" xr:uid="{7BC9B888-A625-4666-BFE7-E70018AC3851}">
      <formula1>"Yes,No"</formula1>
    </dataValidation>
    <dataValidation type="list" allowBlank="1" showInputMessage="1" showErrorMessage="1" sqref="J7:J500" xr:uid="{D649D684-AC01-4F57-B5B1-BDECBD69E3E1}">
      <formula1>"Not yet started, In progress, Completed, No Response Plan Required"</formula1>
    </dataValidation>
  </dataValidations>
  <pageMargins left="0.25" right="0.25" top="0.82499999999999996" bottom="0.75" header="0.3" footer="0.3"/>
  <pageSetup paperSize="17" scale="92" orientation="landscape" r:id="rId1"/>
  <headerFooter>
    <oddHeader>&amp;L&amp;G&amp;R&amp;"Arial,Bold"&amp;16&amp;K002060&amp;A</oddHeader>
    <oddFooter>&amp;L&amp;"Arial,Regular"&amp;10&amp;K000000DOC-TEM-18-NUM Rev A&amp;R&amp;"Arial,Regular"&amp;10&amp;K000000Page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C9C5-6FB4-47EA-B827-36270FDCD848}">
  <dimension ref="A1:B13"/>
  <sheetViews>
    <sheetView workbookViewId="0">
      <selection activeCell="B24" sqref="B24"/>
    </sheetView>
  </sheetViews>
  <sheetFormatPr defaultRowHeight="15" x14ac:dyDescent="0.25"/>
  <cols>
    <col min="1" max="1" width="30.42578125" customWidth="1"/>
    <col min="2" max="2" width="50.85546875" customWidth="1"/>
  </cols>
  <sheetData>
    <row r="1" spans="1:2" x14ac:dyDescent="0.25">
      <c r="A1" s="143"/>
      <c r="B1" s="143"/>
    </row>
    <row r="2" spans="1:2" x14ac:dyDescent="0.25">
      <c r="A2" s="143"/>
      <c r="B2" s="143"/>
    </row>
    <row r="3" spans="1:2" x14ac:dyDescent="0.25">
      <c r="A3" s="143"/>
      <c r="B3" s="143"/>
    </row>
    <row r="4" spans="1:2" x14ac:dyDescent="0.25">
      <c r="A4" s="143"/>
      <c r="B4" s="143"/>
    </row>
    <row r="5" spans="1:2" x14ac:dyDescent="0.25">
      <c r="A5" s="143"/>
      <c r="B5" s="143"/>
    </row>
    <row r="6" spans="1:2" x14ac:dyDescent="0.25">
      <c r="A6" s="143"/>
      <c r="B6" s="143"/>
    </row>
    <row r="7" spans="1:2" x14ac:dyDescent="0.25">
      <c r="A7" s="143"/>
      <c r="B7" s="143"/>
    </row>
    <row r="8" spans="1:2" x14ac:dyDescent="0.25">
      <c r="A8" s="143"/>
      <c r="B8" s="143"/>
    </row>
    <row r="9" spans="1:2" ht="45" x14ac:dyDescent="0.25">
      <c r="A9" s="144" t="s">
        <v>256</v>
      </c>
      <c r="B9" s="143"/>
    </row>
    <row r="10" spans="1:2" x14ac:dyDescent="0.25">
      <c r="A10" s="145"/>
      <c r="B10" s="145"/>
    </row>
    <row r="11" spans="1:2" x14ac:dyDescent="0.25">
      <c r="A11" s="143"/>
      <c r="B11" s="143"/>
    </row>
    <row r="12" spans="1:2" ht="20.25" x14ac:dyDescent="0.25">
      <c r="A12" s="146" t="s">
        <v>252</v>
      </c>
      <c r="B12" s="146" t="s">
        <v>253</v>
      </c>
    </row>
    <row r="13" spans="1:2" ht="20.25" x14ac:dyDescent="0.25">
      <c r="A13" s="146" t="s">
        <v>254</v>
      </c>
      <c r="B13" s="146" t="s">
        <v>255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6991-F1AE-4A4D-9E2C-F20F4850A738}">
  <dimension ref="A1:E19"/>
  <sheetViews>
    <sheetView showGridLines="0" zoomScaleNormal="100" workbookViewId="0">
      <selection activeCell="D16" sqref="D16"/>
    </sheetView>
  </sheetViews>
  <sheetFormatPr defaultRowHeight="15" x14ac:dyDescent="0.25"/>
  <cols>
    <col min="2" max="5" width="20.85546875" customWidth="1"/>
  </cols>
  <sheetData>
    <row r="1" spans="1:5" ht="18" x14ac:dyDescent="0.25">
      <c r="A1" s="147" t="s">
        <v>257</v>
      </c>
      <c r="D1" s="148"/>
    </row>
    <row r="2" spans="1:5" x14ac:dyDescent="0.25">
      <c r="A2" s="2" t="s">
        <v>258</v>
      </c>
    </row>
    <row r="3" spans="1:5" x14ac:dyDescent="0.25">
      <c r="A3" s="2"/>
    </row>
    <row r="4" spans="1:5" ht="18.75" thickBot="1" x14ac:dyDescent="0.3">
      <c r="A4" s="147" t="s">
        <v>259</v>
      </c>
    </row>
    <row r="5" spans="1:5" ht="15.75" thickBot="1" x14ac:dyDescent="0.3">
      <c r="A5" s="149" t="s">
        <v>254</v>
      </c>
      <c r="B5" s="150" t="s">
        <v>260</v>
      </c>
      <c r="C5" s="150" t="s">
        <v>261</v>
      </c>
      <c r="D5" s="150" t="s">
        <v>262</v>
      </c>
      <c r="E5" s="150" t="s">
        <v>263</v>
      </c>
    </row>
    <row r="6" spans="1:5" ht="15.75" thickBot="1" x14ac:dyDescent="0.3">
      <c r="A6" s="151" t="s">
        <v>255</v>
      </c>
      <c r="B6" s="152" t="s">
        <v>300</v>
      </c>
      <c r="C6" s="152" t="s">
        <v>301</v>
      </c>
      <c r="D6" s="152" t="s">
        <v>302</v>
      </c>
      <c r="E6" s="152" t="s">
        <v>264</v>
      </c>
    </row>
    <row r="7" spans="1:5" ht="15.75" thickBot="1" x14ac:dyDescent="0.3">
      <c r="A7" s="151"/>
      <c r="B7" s="152"/>
      <c r="C7" s="152"/>
      <c r="D7" s="152"/>
      <c r="E7" s="152"/>
    </row>
    <row r="8" spans="1:5" ht="15.75" thickBot="1" x14ac:dyDescent="0.3">
      <c r="A8" s="151"/>
      <c r="B8" s="152"/>
      <c r="C8" s="152"/>
      <c r="D8" s="152"/>
      <c r="E8" s="152"/>
    </row>
    <row r="9" spans="1:5" ht="15.75" thickBot="1" x14ac:dyDescent="0.3">
      <c r="A9" s="151"/>
      <c r="B9" s="152"/>
      <c r="C9" s="152"/>
      <c r="D9" s="152"/>
      <c r="E9" s="152"/>
    </row>
    <row r="10" spans="1:5" x14ac:dyDescent="0.25">
      <c r="A10" s="153"/>
      <c r="B10" s="153"/>
      <c r="C10" s="153"/>
      <c r="D10" s="153"/>
      <c r="E10" s="153"/>
    </row>
    <row r="11" spans="1:5" ht="18.75" thickBot="1" x14ac:dyDescent="0.3">
      <c r="A11" s="147" t="s">
        <v>265</v>
      </c>
    </row>
    <row r="12" spans="1:5" ht="15.75" thickBot="1" x14ac:dyDescent="0.3">
      <c r="A12" s="149" t="s">
        <v>254</v>
      </c>
      <c r="B12" s="150" t="s">
        <v>266</v>
      </c>
    </row>
    <row r="13" spans="1:5" ht="15.75" thickBot="1" x14ac:dyDescent="0.3">
      <c r="A13" s="151" t="s">
        <v>255</v>
      </c>
      <c r="B13" s="152"/>
    </row>
    <row r="14" spans="1:5" ht="15.75" thickBot="1" x14ac:dyDescent="0.3">
      <c r="A14" s="151"/>
      <c r="B14" s="152"/>
    </row>
    <row r="15" spans="1:5" ht="15.75" thickBot="1" x14ac:dyDescent="0.3">
      <c r="A15" s="151"/>
      <c r="B15" s="152"/>
    </row>
    <row r="16" spans="1:5" ht="15.75" thickBot="1" x14ac:dyDescent="0.3">
      <c r="A16" s="151"/>
      <c r="B16" s="152"/>
    </row>
    <row r="18" spans="1:5" ht="18.75" thickBot="1" x14ac:dyDescent="0.3">
      <c r="A18" s="147" t="s">
        <v>267</v>
      </c>
    </row>
    <row r="19" spans="1:5" ht="15.75" thickBot="1" x14ac:dyDescent="0.3">
      <c r="A19" s="247"/>
      <c r="B19" s="248"/>
      <c r="C19" s="248"/>
      <c r="D19" s="248"/>
      <c r="E19" s="249"/>
    </row>
  </sheetData>
  <mergeCells count="1">
    <mergeCell ref="A19: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AC5D-63B4-43E5-8E86-EFF2D75DAAC5}">
  <sheetPr>
    <tabColor theme="0" tint="-0.34998626667073579"/>
  </sheetPr>
  <dimension ref="A1:B16"/>
  <sheetViews>
    <sheetView workbookViewId="0">
      <pane ySplit="3" topLeftCell="A4" activePane="bottomLeft" state="frozen"/>
      <selection activeCell="B29" sqref="B29"/>
      <selection pane="bottomLeft" activeCell="A22" sqref="A22"/>
    </sheetView>
  </sheetViews>
  <sheetFormatPr defaultRowHeight="15" x14ac:dyDescent="0.25"/>
  <cols>
    <col min="1" max="1" width="41.7109375" bestFit="1" customWidth="1"/>
    <col min="2" max="2" width="70.7109375" customWidth="1"/>
  </cols>
  <sheetData>
    <row r="1" spans="1:2" ht="21" x14ac:dyDescent="0.35">
      <c r="A1" s="154" t="s">
        <v>268</v>
      </c>
    </row>
    <row r="3" spans="1:2" x14ac:dyDescent="0.25">
      <c r="A3" t="s">
        <v>13</v>
      </c>
      <c r="B3" t="s">
        <v>269</v>
      </c>
    </row>
    <row r="4" spans="1:2" x14ac:dyDescent="0.25">
      <c r="A4" t="s">
        <v>270</v>
      </c>
      <c r="B4" t="s">
        <v>271</v>
      </c>
    </row>
    <row r="5" spans="1:2" x14ac:dyDescent="0.25">
      <c r="A5" t="s">
        <v>272</v>
      </c>
      <c r="B5" t="s">
        <v>273</v>
      </c>
    </row>
    <row r="6" spans="1:2" x14ac:dyDescent="0.25">
      <c r="A6" t="s">
        <v>274</v>
      </c>
      <c r="B6" t="s">
        <v>275</v>
      </c>
    </row>
    <row r="7" spans="1:2" x14ac:dyDescent="0.25">
      <c r="A7" t="s">
        <v>276</v>
      </c>
      <c r="B7" t="s">
        <v>277</v>
      </c>
    </row>
    <row r="8" spans="1:2" x14ac:dyDescent="0.25">
      <c r="A8" t="s">
        <v>278</v>
      </c>
      <c r="B8" t="s">
        <v>279</v>
      </c>
    </row>
    <row r="9" spans="1:2" x14ac:dyDescent="0.25">
      <c r="A9" t="s">
        <v>280</v>
      </c>
      <c r="B9" t="s">
        <v>281</v>
      </c>
    </row>
    <row r="10" spans="1:2" x14ac:dyDescent="0.25">
      <c r="A10" t="s">
        <v>282</v>
      </c>
      <c r="B10" t="s">
        <v>283</v>
      </c>
    </row>
    <row r="11" spans="1:2" x14ac:dyDescent="0.25">
      <c r="A11" t="s">
        <v>284</v>
      </c>
      <c r="B11" t="s">
        <v>285</v>
      </c>
    </row>
    <row r="12" spans="1:2" x14ac:dyDescent="0.25">
      <c r="A12" t="s">
        <v>286</v>
      </c>
      <c r="B12" t="s">
        <v>287</v>
      </c>
    </row>
    <row r="13" spans="1:2" x14ac:dyDescent="0.25">
      <c r="A13" t="s">
        <v>288</v>
      </c>
      <c r="B13" t="s">
        <v>289</v>
      </c>
    </row>
    <row r="14" spans="1:2" x14ac:dyDescent="0.25">
      <c r="A14" t="s">
        <v>290</v>
      </c>
      <c r="B14" t="s">
        <v>291</v>
      </c>
    </row>
    <row r="15" spans="1:2" x14ac:dyDescent="0.25">
      <c r="A15" t="s">
        <v>292</v>
      </c>
      <c r="B15" t="s">
        <v>293</v>
      </c>
    </row>
    <row r="16" spans="1:2" x14ac:dyDescent="0.25">
      <c r="A16" t="s">
        <v>296</v>
      </c>
      <c r="B16" t="s">
        <v>297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7C29F-1305-434C-A960-F9F6CEB551A4}">
  <sheetPr>
    <outlinePr summaryBelow="0" summaryRight="0"/>
    <pageSetUpPr fitToPage="1"/>
  </sheetPr>
  <dimension ref="A1:Z51"/>
  <sheetViews>
    <sheetView showGridLines="0" tabSelected="1" zoomScaleNormal="100" zoomScaleSheetLayoutView="90" zoomScalePageLayoutView="50" workbookViewId="0">
      <pane xSplit="3" ySplit="4" topLeftCell="D25" activePane="bottomRight" state="frozen"/>
      <selection activeCell="B29" sqref="B29"/>
      <selection pane="topRight" activeCell="B29" sqref="B29"/>
      <selection pane="bottomLeft" activeCell="B29" sqref="B29"/>
      <selection pane="bottomRight" activeCell="E27" sqref="E27"/>
    </sheetView>
  </sheetViews>
  <sheetFormatPr defaultColWidth="17.28515625" defaultRowHeight="15" customHeight="1" x14ac:dyDescent="0.25"/>
  <cols>
    <col min="1" max="1" width="5.85546875" style="165" customWidth="1"/>
    <col min="2" max="2" width="11.7109375" style="165" customWidth="1"/>
    <col min="3" max="3" width="44.7109375" style="166" customWidth="1"/>
    <col min="4" max="4" width="11.7109375" style="165" customWidth="1"/>
    <col min="5" max="5" width="18.85546875" style="165" customWidth="1"/>
    <col min="6" max="6" width="16.85546875" style="165" customWidth="1"/>
    <col min="7" max="7" width="11.28515625" style="165" customWidth="1"/>
    <col min="8" max="8" width="16.7109375" style="165" customWidth="1"/>
    <col min="9" max="10" width="10.28515625" style="165" customWidth="1"/>
    <col min="11" max="12" width="11.7109375" style="165" customWidth="1"/>
    <col min="13" max="13" width="44.7109375" style="166" customWidth="1"/>
    <col min="14" max="14" width="14.7109375" style="165" customWidth="1"/>
    <col min="15" max="15" width="3.5703125" style="167" customWidth="1"/>
    <col min="16" max="16" width="12.42578125" style="165" customWidth="1"/>
    <col min="17" max="18" width="10.28515625" style="165" customWidth="1"/>
    <col min="19" max="19" width="14.7109375" style="165" customWidth="1"/>
    <col min="20" max="20" width="3.42578125" style="165" customWidth="1"/>
    <col min="21" max="21" width="22.28515625" style="166" customWidth="1"/>
    <col min="22" max="22" width="18.5703125" style="166" customWidth="1"/>
    <col min="23" max="23" width="19.42578125" style="166" customWidth="1"/>
    <col min="24" max="24" width="19.140625" style="166" customWidth="1"/>
    <col min="25" max="25" width="3.5703125" style="165" customWidth="1"/>
    <col min="26" max="26" width="17.28515625" style="165" bestFit="1" customWidth="1"/>
    <col min="27" max="16383" width="17.28515625" style="165"/>
    <col min="16384" max="16384" width="17.28515625" style="165" bestFit="1"/>
  </cols>
  <sheetData>
    <row r="1" spans="1:26" s="191" customFormat="1" ht="20.100000000000001" customHeight="1" x14ac:dyDescent="0.25">
      <c r="A1" s="218" t="s">
        <v>299</v>
      </c>
      <c r="B1" s="218"/>
      <c r="C1" s="218"/>
      <c r="D1" s="218"/>
      <c r="E1" s="218"/>
      <c r="F1" s="218"/>
      <c r="G1" s="218"/>
      <c r="H1" s="218"/>
      <c r="I1" s="218"/>
      <c r="J1" s="218"/>
      <c r="K1" s="218"/>
      <c r="L1" s="218"/>
      <c r="M1" s="218"/>
      <c r="N1" s="219"/>
      <c r="O1" s="192"/>
      <c r="P1" s="204" t="s">
        <v>78</v>
      </c>
      <c r="Q1" s="205"/>
      <c r="R1" s="205"/>
      <c r="S1" s="141"/>
      <c r="T1" s="189"/>
      <c r="U1" s="202" t="s">
        <v>79</v>
      </c>
      <c r="V1" s="202"/>
      <c r="W1" s="202"/>
      <c r="X1" s="203"/>
      <c r="Y1" s="190"/>
      <c r="Z1" s="165"/>
    </row>
    <row r="2" spans="1:26" s="179" customFormat="1" ht="19.149999999999999" customHeight="1" x14ac:dyDescent="0.25">
      <c r="A2" s="208" t="s">
        <v>80</v>
      </c>
      <c r="B2" s="209"/>
      <c r="C2" s="125"/>
      <c r="D2" s="188" t="s">
        <v>81</v>
      </c>
      <c r="E2" s="126"/>
      <c r="F2" s="186" t="s">
        <v>82</v>
      </c>
      <c r="G2" s="126"/>
      <c r="H2" s="187" t="s">
        <v>83</v>
      </c>
      <c r="I2" s="216"/>
      <c r="J2" s="217"/>
      <c r="K2" s="186" t="s">
        <v>84</v>
      </c>
      <c r="L2" s="127"/>
      <c r="M2" s="185" t="s">
        <v>85</v>
      </c>
      <c r="N2" s="142"/>
      <c r="O2" s="176"/>
      <c r="P2" s="206" t="s">
        <v>86</v>
      </c>
      <c r="Q2" s="207"/>
      <c r="R2" s="207"/>
      <c r="S2" s="207"/>
      <c r="T2" s="183"/>
      <c r="U2" s="178"/>
      <c r="V2" s="178"/>
      <c r="W2" s="178"/>
      <c r="X2" s="178"/>
      <c r="Y2" s="177"/>
    </row>
    <row r="3" spans="1:26" s="179" customFormat="1" ht="19.149999999999999" customHeight="1" x14ac:dyDescent="0.25">
      <c r="A3" s="174" t="s">
        <v>87</v>
      </c>
      <c r="B3" s="175"/>
      <c r="C3" s="210" t="s">
        <v>88</v>
      </c>
      <c r="D3" s="211"/>
      <c r="E3" s="212"/>
      <c r="F3" s="213" t="s">
        <v>89</v>
      </c>
      <c r="G3" s="211"/>
      <c r="H3" s="211"/>
      <c r="I3" s="211"/>
      <c r="J3" s="212"/>
      <c r="K3" s="213" t="s">
        <v>90</v>
      </c>
      <c r="L3" s="211"/>
      <c r="M3" s="211"/>
      <c r="N3" s="211"/>
      <c r="O3" s="176"/>
      <c r="P3" s="214" t="s">
        <v>91</v>
      </c>
      <c r="Q3" s="214"/>
      <c r="R3" s="214"/>
      <c r="S3" s="215"/>
      <c r="T3" s="177"/>
      <c r="U3" s="178"/>
      <c r="V3" s="178"/>
      <c r="W3" s="178"/>
      <c r="X3" s="178"/>
      <c r="Y3" s="177"/>
    </row>
    <row r="4" spans="1:26" s="179" customFormat="1" ht="54.75" customHeight="1" x14ac:dyDescent="0.25">
      <c r="A4" s="180" t="s">
        <v>12</v>
      </c>
      <c r="B4" s="180" t="s">
        <v>92</v>
      </c>
      <c r="C4" s="180" t="s">
        <v>93</v>
      </c>
      <c r="D4" s="180" t="s">
        <v>94</v>
      </c>
      <c r="E4" s="180" t="s">
        <v>95</v>
      </c>
      <c r="F4" s="180" t="s">
        <v>96</v>
      </c>
      <c r="G4" s="180" t="s">
        <v>97</v>
      </c>
      <c r="H4" s="180" t="s">
        <v>98</v>
      </c>
      <c r="I4" s="180" t="s">
        <v>99</v>
      </c>
      <c r="J4" s="180" t="s">
        <v>100</v>
      </c>
      <c r="K4" s="180" t="s">
        <v>101</v>
      </c>
      <c r="L4" s="180" t="s">
        <v>102</v>
      </c>
      <c r="M4" s="180" t="s">
        <v>103</v>
      </c>
      <c r="N4" s="180" t="s">
        <v>104</v>
      </c>
      <c r="O4" s="181" t="s">
        <v>105</v>
      </c>
      <c r="P4" s="180" t="s">
        <v>106</v>
      </c>
      <c r="Q4" s="180" t="s">
        <v>107</v>
      </c>
      <c r="R4" s="180" t="s">
        <v>108</v>
      </c>
      <c r="S4" s="182" t="s">
        <v>109</v>
      </c>
      <c r="T4" s="183"/>
      <c r="U4" s="195" t="s">
        <v>294</v>
      </c>
      <c r="V4" s="195" t="s">
        <v>295</v>
      </c>
      <c r="W4" s="195" t="s">
        <v>298</v>
      </c>
      <c r="X4" s="184"/>
      <c r="Y4" s="177"/>
    </row>
    <row r="5" spans="1:26" s="171" customFormat="1" ht="64.900000000000006" customHeight="1" x14ac:dyDescent="0.25">
      <c r="A5" s="104">
        <v>1</v>
      </c>
      <c r="B5" s="103" t="s">
        <v>333</v>
      </c>
      <c r="C5" s="198" t="s">
        <v>309</v>
      </c>
      <c r="D5" s="103" t="s">
        <v>334</v>
      </c>
      <c r="E5" s="103"/>
      <c r="F5" s="137"/>
      <c r="G5" s="103">
        <v>1</v>
      </c>
      <c r="H5" s="103" t="s">
        <v>117</v>
      </c>
      <c r="I5" s="103">
        <v>4</v>
      </c>
      <c r="J5" s="194">
        <f t="shared" ref="J5:J50" si="0">IF(AND(G5&lt;&gt;"",I5&lt;&gt;""),
    G5*I5,
    0)</f>
        <v>4</v>
      </c>
      <c r="K5" s="103" t="s">
        <v>341</v>
      </c>
      <c r="L5" s="103"/>
      <c r="M5" s="196" t="s">
        <v>344</v>
      </c>
      <c r="N5" s="137"/>
      <c r="O5" s="173"/>
      <c r="P5" s="138">
        <v>1</v>
      </c>
      <c r="Q5" s="103">
        <v>1</v>
      </c>
      <c r="R5" s="193">
        <f>IF(AND(P5&lt;&gt;"", Q5&lt;&gt;""),
    P5*Q5,
    0)</f>
        <v>1</v>
      </c>
      <c r="S5" s="139"/>
      <c r="T5" s="172"/>
      <c r="U5" s="128" t="s">
        <v>270</v>
      </c>
      <c r="V5" s="128" t="s">
        <v>306</v>
      </c>
      <c r="W5" s="168"/>
      <c r="X5" s="169"/>
      <c r="Y5" s="170"/>
    </row>
    <row r="6" spans="1:26" s="171" customFormat="1" ht="60" x14ac:dyDescent="0.25">
      <c r="A6" s="104">
        <v>2</v>
      </c>
      <c r="B6" s="103" t="s">
        <v>333</v>
      </c>
      <c r="C6" s="198" t="s">
        <v>310</v>
      </c>
      <c r="D6" s="103" t="s">
        <v>335</v>
      </c>
      <c r="E6" s="103"/>
      <c r="F6" s="137"/>
      <c r="G6" s="103">
        <v>1</v>
      </c>
      <c r="H6" s="103" t="s">
        <v>113</v>
      </c>
      <c r="I6" s="103">
        <v>4</v>
      </c>
      <c r="J6" s="194">
        <f t="shared" si="0"/>
        <v>4</v>
      </c>
      <c r="K6" s="103" t="s">
        <v>341</v>
      </c>
      <c r="L6" s="103"/>
      <c r="M6" s="196" t="s">
        <v>345</v>
      </c>
      <c r="N6" s="137"/>
      <c r="O6" s="173"/>
      <c r="P6" s="140">
        <v>1</v>
      </c>
      <c r="Q6" s="104">
        <v>1</v>
      </c>
      <c r="R6" s="193" cm="1">
        <f t="array" ref="R6">P6*Q6</f>
        <v>1</v>
      </c>
      <c r="S6" s="139"/>
      <c r="T6" s="172"/>
      <c r="U6" s="128" t="s">
        <v>270</v>
      </c>
      <c r="V6" s="128" t="s">
        <v>307</v>
      </c>
      <c r="W6" s="168"/>
      <c r="X6" s="169"/>
      <c r="Y6" s="170"/>
    </row>
    <row r="7" spans="1:26" s="171" customFormat="1" ht="60" x14ac:dyDescent="0.25">
      <c r="A7" s="104">
        <v>3</v>
      </c>
      <c r="B7" s="103" t="s">
        <v>333</v>
      </c>
      <c r="C7" s="199" t="s">
        <v>311</v>
      </c>
      <c r="D7" s="104" t="s">
        <v>336</v>
      </c>
      <c r="E7" s="104"/>
      <c r="F7" s="137"/>
      <c r="G7" s="103">
        <v>3</v>
      </c>
      <c r="H7" s="104" t="s">
        <v>115</v>
      </c>
      <c r="I7" s="104">
        <v>3</v>
      </c>
      <c r="J7" s="194">
        <f t="shared" si="0"/>
        <v>9</v>
      </c>
      <c r="K7" s="104" t="s">
        <v>341</v>
      </c>
      <c r="L7" s="104"/>
      <c r="M7" s="196" t="s">
        <v>346</v>
      </c>
      <c r="N7" s="137"/>
      <c r="O7" s="173"/>
      <c r="P7" s="140">
        <v>2</v>
      </c>
      <c r="Q7" s="104">
        <v>2</v>
      </c>
      <c r="R7" s="193" cm="1">
        <f t="array" ref="R7">P7*Q7</f>
        <v>4</v>
      </c>
      <c r="S7" s="139"/>
      <c r="T7" s="172"/>
      <c r="U7" s="135" t="s">
        <v>272</v>
      </c>
      <c r="V7" s="128" t="s">
        <v>308</v>
      </c>
      <c r="W7" s="168" t="s">
        <v>361</v>
      </c>
      <c r="X7" s="169"/>
      <c r="Y7" s="170"/>
    </row>
    <row r="8" spans="1:26" s="171" customFormat="1" ht="60" x14ac:dyDescent="0.25">
      <c r="A8" s="104">
        <v>4</v>
      </c>
      <c r="B8" s="103" t="s">
        <v>333</v>
      </c>
      <c r="C8" s="201" t="s">
        <v>312</v>
      </c>
      <c r="D8" s="104" t="s">
        <v>337</v>
      </c>
      <c r="E8" s="104"/>
      <c r="F8" s="137"/>
      <c r="G8" s="103">
        <v>3</v>
      </c>
      <c r="H8" s="104" t="s">
        <v>115</v>
      </c>
      <c r="I8" s="104">
        <v>3</v>
      </c>
      <c r="J8" s="194">
        <f t="shared" si="0"/>
        <v>9</v>
      </c>
      <c r="K8" s="104" t="s">
        <v>341</v>
      </c>
      <c r="L8" s="104"/>
      <c r="M8" s="196" t="s">
        <v>347</v>
      </c>
      <c r="N8" s="137"/>
      <c r="O8" s="173"/>
      <c r="P8" s="140">
        <v>1</v>
      </c>
      <c r="Q8" s="104">
        <v>3</v>
      </c>
      <c r="R8" s="193" cm="1">
        <f t="array" ref="R8">P8*Q8</f>
        <v>3</v>
      </c>
      <c r="S8" s="139"/>
      <c r="T8" s="172"/>
      <c r="U8" s="128" t="s">
        <v>272</v>
      </c>
      <c r="V8" s="128" t="s">
        <v>307</v>
      </c>
      <c r="W8" s="168" t="s">
        <v>361</v>
      </c>
      <c r="X8" s="169"/>
      <c r="Y8" s="170"/>
    </row>
    <row r="9" spans="1:26" s="171" customFormat="1" ht="64.5" customHeight="1" x14ac:dyDescent="0.25">
      <c r="A9" s="104">
        <v>5</v>
      </c>
      <c r="B9" s="103" t="s">
        <v>333</v>
      </c>
      <c r="C9" s="201" t="s">
        <v>313</v>
      </c>
      <c r="D9" s="104" t="s">
        <v>335</v>
      </c>
      <c r="E9" s="104"/>
      <c r="F9" s="137"/>
      <c r="G9" s="103">
        <v>4</v>
      </c>
      <c r="H9" s="104" t="s">
        <v>113</v>
      </c>
      <c r="I9" s="104">
        <v>5</v>
      </c>
      <c r="J9" s="194">
        <f t="shared" si="0"/>
        <v>20</v>
      </c>
      <c r="K9" s="104" t="s">
        <v>341</v>
      </c>
      <c r="L9" s="104"/>
      <c r="M9" s="197" t="s">
        <v>348</v>
      </c>
      <c r="N9" s="137"/>
      <c r="O9" s="173"/>
      <c r="P9" s="140">
        <v>2</v>
      </c>
      <c r="Q9" s="104">
        <v>4</v>
      </c>
      <c r="R9" s="193" cm="1">
        <f t="array" ref="R9">P9*Q9</f>
        <v>8</v>
      </c>
      <c r="S9" s="139"/>
      <c r="T9" s="172"/>
      <c r="U9" s="128" t="s">
        <v>274</v>
      </c>
      <c r="V9" s="128" t="s">
        <v>307</v>
      </c>
      <c r="W9" s="168" t="s">
        <v>361</v>
      </c>
      <c r="X9" s="169"/>
      <c r="Y9" s="170"/>
    </row>
    <row r="10" spans="1:26" s="171" customFormat="1" ht="56.45" customHeight="1" x14ac:dyDescent="0.25">
      <c r="A10" s="104">
        <v>6</v>
      </c>
      <c r="B10" s="103" t="s">
        <v>333</v>
      </c>
      <c r="C10" s="201" t="s">
        <v>314</v>
      </c>
      <c r="D10" s="104" t="s">
        <v>337</v>
      </c>
      <c r="E10" s="104"/>
      <c r="F10" s="137"/>
      <c r="G10" s="104">
        <v>3</v>
      </c>
      <c r="H10" s="104" t="s">
        <v>115</v>
      </c>
      <c r="I10" s="104">
        <v>3</v>
      </c>
      <c r="J10" s="194">
        <f t="shared" si="0"/>
        <v>9</v>
      </c>
      <c r="K10" s="104" t="s">
        <v>341</v>
      </c>
      <c r="L10" s="104"/>
      <c r="M10" s="197" t="s">
        <v>363</v>
      </c>
      <c r="N10" s="137"/>
      <c r="O10" s="173"/>
      <c r="P10" s="140">
        <v>2</v>
      </c>
      <c r="Q10" s="104">
        <v>2</v>
      </c>
      <c r="R10" s="193" cm="1">
        <f t="array" ref="R10">P10*Q10</f>
        <v>4</v>
      </c>
      <c r="S10" s="139"/>
      <c r="T10" s="172"/>
      <c r="U10" s="128" t="s">
        <v>274</v>
      </c>
      <c r="V10" s="128" t="s">
        <v>306</v>
      </c>
      <c r="W10" s="168" t="s">
        <v>361</v>
      </c>
      <c r="X10" s="169"/>
      <c r="Y10" s="170"/>
    </row>
    <row r="11" spans="1:26" s="171" customFormat="1" ht="60" x14ac:dyDescent="0.25">
      <c r="A11" s="104">
        <v>7</v>
      </c>
      <c r="B11" s="103" t="s">
        <v>333</v>
      </c>
      <c r="C11" s="200" t="s">
        <v>315</v>
      </c>
      <c r="D11" s="104" t="s">
        <v>338</v>
      </c>
      <c r="E11" s="104"/>
      <c r="F11" s="137"/>
      <c r="G11" s="104">
        <v>2</v>
      </c>
      <c r="H11" s="104" t="s">
        <v>117</v>
      </c>
      <c r="I11" s="104">
        <v>3</v>
      </c>
      <c r="J11" s="194">
        <f t="shared" si="0"/>
        <v>6</v>
      </c>
      <c r="K11" s="104" t="s">
        <v>341</v>
      </c>
      <c r="L11" s="104"/>
      <c r="M11" s="197" t="s">
        <v>349</v>
      </c>
      <c r="N11" s="137"/>
      <c r="O11" s="173"/>
      <c r="P11" s="140">
        <v>1</v>
      </c>
      <c r="Q11" s="104">
        <v>2</v>
      </c>
      <c r="R11" s="193" cm="1">
        <f t="array" ref="R11">P11*Q11</f>
        <v>2</v>
      </c>
      <c r="S11" s="139"/>
      <c r="T11" s="172"/>
      <c r="U11" s="128" t="s">
        <v>276</v>
      </c>
      <c r="V11" s="128" t="s">
        <v>308</v>
      </c>
      <c r="W11" s="168" t="s">
        <v>361</v>
      </c>
      <c r="X11" s="169"/>
      <c r="Y11" s="170"/>
    </row>
    <row r="12" spans="1:26" s="171" customFormat="1" ht="66" customHeight="1" x14ac:dyDescent="0.25">
      <c r="A12" s="104">
        <v>8</v>
      </c>
      <c r="B12" s="103" t="s">
        <v>333</v>
      </c>
      <c r="C12" s="200" t="s">
        <v>316</v>
      </c>
      <c r="D12" s="104" t="s">
        <v>338</v>
      </c>
      <c r="E12" s="104"/>
      <c r="F12" s="137"/>
      <c r="G12" s="104">
        <v>2</v>
      </c>
      <c r="H12" s="104" t="s">
        <v>117</v>
      </c>
      <c r="I12" s="104">
        <v>3</v>
      </c>
      <c r="J12" s="194">
        <f t="shared" si="0"/>
        <v>6</v>
      </c>
      <c r="K12" s="104" t="s">
        <v>341</v>
      </c>
      <c r="L12" s="104"/>
      <c r="M12" s="197" t="s">
        <v>350</v>
      </c>
      <c r="N12" s="137"/>
      <c r="O12" s="173"/>
      <c r="P12" s="140">
        <v>2</v>
      </c>
      <c r="Q12" s="104">
        <v>2</v>
      </c>
      <c r="R12" s="193" cm="1">
        <f t="array" ref="R12">P12*Q12</f>
        <v>4</v>
      </c>
      <c r="S12" s="139"/>
      <c r="T12" s="172"/>
      <c r="U12" s="128" t="s">
        <v>276</v>
      </c>
      <c r="V12" s="128" t="s">
        <v>306</v>
      </c>
      <c r="W12" s="168"/>
      <c r="X12" s="169"/>
      <c r="Y12" s="170"/>
    </row>
    <row r="13" spans="1:26" s="171" customFormat="1" ht="65.25" customHeight="1" x14ac:dyDescent="0.25">
      <c r="A13" s="104">
        <v>9</v>
      </c>
      <c r="B13" s="103" t="s">
        <v>333</v>
      </c>
      <c r="C13" s="201" t="s">
        <v>317</v>
      </c>
      <c r="D13" s="104" t="s">
        <v>336</v>
      </c>
      <c r="E13" s="104"/>
      <c r="F13" s="137"/>
      <c r="G13" s="104">
        <v>3</v>
      </c>
      <c r="H13" s="104" t="s">
        <v>113</v>
      </c>
      <c r="I13" s="104">
        <v>4</v>
      </c>
      <c r="J13" s="194">
        <f t="shared" si="0"/>
        <v>12</v>
      </c>
      <c r="K13" s="104" t="s">
        <v>341</v>
      </c>
      <c r="L13" s="104"/>
      <c r="M13" s="197" t="s">
        <v>351</v>
      </c>
      <c r="N13" s="137"/>
      <c r="O13" s="173"/>
      <c r="P13" s="140">
        <v>2</v>
      </c>
      <c r="Q13" s="104">
        <v>3</v>
      </c>
      <c r="R13" s="193" cm="1">
        <f t="array" ref="R13">P13*Q13</f>
        <v>6</v>
      </c>
      <c r="S13" s="139"/>
      <c r="T13" s="172"/>
      <c r="U13" s="128" t="s">
        <v>278</v>
      </c>
      <c r="V13" s="128" t="s">
        <v>307</v>
      </c>
      <c r="W13" s="168" t="s">
        <v>361</v>
      </c>
      <c r="X13" s="169"/>
      <c r="Y13" s="170"/>
    </row>
    <row r="14" spans="1:26" s="171" customFormat="1" ht="104.25" customHeight="1" x14ac:dyDescent="0.25">
      <c r="A14" s="104">
        <v>10</v>
      </c>
      <c r="B14" s="103" t="s">
        <v>333</v>
      </c>
      <c r="C14" s="199" t="s">
        <v>364</v>
      </c>
      <c r="D14" s="104" t="s">
        <v>337</v>
      </c>
      <c r="E14" s="104"/>
      <c r="F14" s="137"/>
      <c r="G14" s="104">
        <v>3</v>
      </c>
      <c r="H14" s="104" t="s">
        <v>115</v>
      </c>
      <c r="I14" s="104">
        <v>4</v>
      </c>
      <c r="J14" s="194">
        <f t="shared" si="0"/>
        <v>12</v>
      </c>
      <c r="K14" s="104" t="s">
        <v>341</v>
      </c>
      <c r="L14" s="104"/>
      <c r="M14" s="197" t="s">
        <v>365</v>
      </c>
      <c r="N14" s="137"/>
      <c r="O14" s="173"/>
      <c r="P14" s="140">
        <v>2</v>
      </c>
      <c r="Q14" s="104">
        <v>3</v>
      </c>
      <c r="R14" s="193" cm="1">
        <f t="array" ref="R14">P14*Q14</f>
        <v>6</v>
      </c>
      <c r="S14" s="139"/>
      <c r="T14" s="172"/>
      <c r="U14" s="128" t="s">
        <v>278</v>
      </c>
      <c r="V14" s="128" t="s">
        <v>308</v>
      </c>
      <c r="W14" s="168" t="s">
        <v>361</v>
      </c>
      <c r="X14" s="169"/>
      <c r="Y14" s="170"/>
    </row>
    <row r="15" spans="1:26" s="171" customFormat="1" ht="80.25" customHeight="1" x14ac:dyDescent="0.25">
      <c r="A15" s="104">
        <v>11</v>
      </c>
      <c r="B15" s="103" t="s">
        <v>333</v>
      </c>
      <c r="C15" s="200" t="s">
        <v>318</v>
      </c>
      <c r="D15" s="104" t="s">
        <v>338</v>
      </c>
      <c r="E15" s="104"/>
      <c r="F15" s="137"/>
      <c r="G15" s="104">
        <v>2</v>
      </c>
      <c r="H15" s="104" t="s">
        <v>113</v>
      </c>
      <c r="I15" s="104">
        <v>2</v>
      </c>
      <c r="J15" s="194">
        <f t="shared" si="0"/>
        <v>4</v>
      </c>
      <c r="K15" s="104" t="s">
        <v>341</v>
      </c>
      <c r="L15" s="104"/>
      <c r="M15" s="197" t="s">
        <v>366</v>
      </c>
      <c r="N15" s="137"/>
      <c r="O15" s="173"/>
      <c r="P15" s="140">
        <v>1</v>
      </c>
      <c r="Q15" s="104">
        <v>2</v>
      </c>
      <c r="R15" s="193" cm="1">
        <f t="array" ref="R15">P15*Q15</f>
        <v>2</v>
      </c>
      <c r="S15" s="139"/>
      <c r="T15" s="172"/>
      <c r="U15" s="128" t="s">
        <v>280</v>
      </c>
      <c r="V15" s="128" t="s">
        <v>307</v>
      </c>
      <c r="W15" s="168"/>
      <c r="X15" s="169"/>
      <c r="Y15" s="170"/>
    </row>
    <row r="16" spans="1:26" s="171" customFormat="1" ht="60" customHeight="1" x14ac:dyDescent="0.25">
      <c r="A16" s="104">
        <v>12</v>
      </c>
      <c r="B16" s="103" t="s">
        <v>333</v>
      </c>
      <c r="C16" s="200" t="s">
        <v>319</v>
      </c>
      <c r="D16" s="104" t="s">
        <v>338</v>
      </c>
      <c r="E16" s="104"/>
      <c r="F16" s="137"/>
      <c r="G16" s="104">
        <v>1</v>
      </c>
      <c r="H16" s="104" t="s">
        <v>117</v>
      </c>
      <c r="I16" s="104">
        <v>5</v>
      </c>
      <c r="J16" s="194">
        <f t="shared" si="0"/>
        <v>5</v>
      </c>
      <c r="K16" s="104" t="s">
        <v>341</v>
      </c>
      <c r="L16" s="104"/>
      <c r="M16" s="197" t="s">
        <v>352</v>
      </c>
      <c r="N16" s="137"/>
      <c r="O16" s="173"/>
      <c r="P16" s="140">
        <v>1</v>
      </c>
      <c r="Q16" s="104">
        <v>4</v>
      </c>
      <c r="R16" s="193" cm="1">
        <f t="array" ref="R16">P16*Q16</f>
        <v>4</v>
      </c>
      <c r="S16" s="139"/>
      <c r="T16" s="172"/>
      <c r="U16" s="128" t="s">
        <v>280</v>
      </c>
      <c r="V16" s="128" t="s">
        <v>306</v>
      </c>
      <c r="W16" s="168"/>
      <c r="X16" s="169"/>
      <c r="Y16" s="170"/>
    </row>
    <row r="17" spans="1:25" s="171" customFormat="1" ht="61.15" customHeight="1" x14ac:dyDescent="0.25">
      <c r="A17" s="104">
        <v>13</v>
      </c>
      <c r="B17" s="103" t="s">
        <v>333</v>
      </c>
      <c r="C17" s="201" t="s">
        <v>362</v>
      </c>
      <c r="D17" s="104" t="s">
        <v>334</v>
      </c>
      <c r="E17" s="104"/>
      <c r="F17" s="137"/>
      <c r="G17" s="104">
        <v>2</v>
      </c>
      <c r="H17" s="104" t="s">
        <v>113</v>
      </c>
      <c r="I17" s="104">
        <v>5</v>
      </c>
      <c r="J17" s="194">
        <f t="shared" si="0"/>
        <v>10</v>
      </c>
      <c r="K17" s="104" t="s">
        <v>341</v>
      </c>
      <c r="L17" s="104"/>
      <c r="M17" s="197" t="s">
        <v>367</v>
      </c>
      <c r="N17" s="137"/>
      <c r="O17" s="173"/>
      <c r="P17" s="140">
        <v>1</v>
      </c>
      <c r="Q17" s="104">
        <v>4</v>
      </c>
      <c r="R17" s="193" cm="1">
        <f t="array" ref="R17">P17*Q17</f>
        <v>4</v>
      </c>
      <c r="S17" s="139"/>
      <c r="T17" s="172"/>
      <c r="U17" s="128" t="s">
        <v>282</v>
      </c>
      <c r="V17" s="128" t="s">
        <v>307</v>
      </c>
      <c r="W17" s="168" t="s">
        <v>361</v>
      </c>
      <c r="X17" s="169"/>
      <c r="Y17" s="170"/>
    </row>
    <row r="18" spans="1:25" s="171" customFormat="1" ht="60" x14ac:dyDescent="0.25">
      <c r="A18" s="104">
        <v>14</v>
      </c>
      <c r="B18" s="103" t="s">
        <v>333</v>
      </c>
      <c r="C18" s="201" t="s">
        <v>320</v>
      </c>
      <c r="D18" s="104" t="s">
        <v>337</v>
      </c>
      <c r="E18" s="104"/>
      <c r="F18" s="137"/>
      <c r="G18" s="104">
        <v>1</v>
      </c>
      <c r="H18" s="104" t="s">
        <v>113</v>
      </c>
      <c r="I18" s="104">
        <v>4</v>
      </c>
      <c r="J18" s="194">
        <f t="shared" si="0"/>
        <v>4</v>
      </c>
      <c r="K18" s="104" t="s">
        <v>341</v>
      </c>
      <c r="L18" s="104"/>
      <c r="M18" s="197" t="s">
        <v>368</v>
      </c>
      <c r="N18" s="137"/>
      <c r="O18" s="173"/>
      <c r="P18" s="140">
        <v>2</v>
      </c>
      <c r="Q18" s="104">
        <v>3</v>
      </c>
      <c r="R18" s="193" cm="1">
        <f t="array" ref="R18">P18*Q18</f>
        <v>6</v>
      </c>
      <c r="S18" s="139"/>
      <c r="T18" s="172"/>
      <c r="U18" s="128" t="s">
        <v>282</v>
      </c>
      <c r="V18" s="128" t="s">
        <v>308</v>
      </c>
      <c r="W18" s="168" t="s">
        <v>361</v>
      </c>
      <c r="X18" s="169"/>
      <c r="Y18" s="170"/>
    </row>
    <row r="19" spans="1:25" s="171" customFormat="1" ht="67.5" customHeight="1" x14ac:dyDescent="0.25">
      <c r="A19" s="104">
        <v>15</v>
      </c>
      <c r="B19" s="103" t="s">
        <v>333</v>
      </c>
      <c r="C19" s="201" t="s">
        <v>321</v>
      </c>
      <c r="D19" s="104" t="s">
        <v>336</v>
      </c>
      <c r="E19" s="104"/>
      <c r="F19" s="137"/>
      <c r="G19" s="104">
        <v>2</v>
      </c>
      <c r="H19" s="104" t="s">
        <v>114</v>
      </c>
      <c r="I19" s="104">
        <v>3</v>
      </c>
      <c r="J19" s="194">
        <f t="shared" si="0"/>
        <v>6</v>
      </c>
      <c r="K19" s="104" t="s">
        <v>341</v>
      </c>
      <c r="L19" s="104"/>
      <c r="M19" s="197" t="s">
        <v>369</v>
      </c>
      <c r="N19" s="137"/>
      <c r="O19" s="173"/>
      <c r="P19" s="140">
        <v>2</v>
      </c>
      <c r="Q19" s="104">
        <v>2</v>
      </c>
      <c r="R19" s="193" cm="1">
        <f t="array" ref="R19">P19*Q19</f>
        <v>4</v>
      </c>
      <c r="S19" s="139"/>
      <c r="T19" s="172"/>
      <c r="U19" s="128" t="s">
        <v>303</v>
      </c>
      <c r="V19" s="128" t="s">
        <v>306</v>
      </c>
      <c r="W19" s="168"/>
      <c r="X19" s="169"/>
      <c r="Y19" s="170"/>
    </row>
    <row r="20" spans="1:25" s="171" customFormat="1" ht="69" customHeight="1" x14ac:dyDescent="0.25">
      <c r="A20" s="104">
        <v>16</v>
      </c>
      <c r="B20" s="103" t="s">
        <v>333</v>
      </c>
      <c r="C20" s="200" t="s">
        <v>322</v>
      </c>
      <c r="D20" s="104" t="s">
        <v>336</v>
      </c>
      <c r="E20" s="104"/>
      <c r="F20" s="137"/>
      <c r="G20" s="104">
        <v>1</v>
      </c>
      <c r="H20" s="104" t="s">
        <v>114</v>
      </c>
      <c r="I20" s="104">
        <v>4</v>
      </c>
      <c r="J20" s="194">
        <f t="shared" si="0"/>
        <v>4</v>
      </c>
      <c r="K20" s="104" t="s">
        <v>341</v>
      </c>
      <c r="L20" s="104"/>
      <c r="M20" s="197" t="s">
        <v>353</v>
      </c>
      <c r="N20" s="137"/>
      <c r="O20" s="173"/>
      <c r="P20" s="140">
        <v>1</v>
      </c>
      <c r="Q20" s="104">
        <v>3</v>
      </c>
      <c r="R20" s="193" cm="1">
        <f t="array" ref="R20">P20*Q20</f>
        <v>3</v>
      </c>
      <c r="S20" s="139"/>
      <c r="T20" s="172"/>
      <c r="U20" s="128" t="s">
        <v>303</v>
      </c>
      <c r="V20" s="128" t="s">
        <v>307</v>
      </c>
      <c r="W20" s="168"/>
      <c r="X20" s="169"/>
      <c r="Y20" s="170"/>
    </row>
    <row r="21" spans="1:25" s="171" customFormat="1" ht="60" x14ac:dyDescent="0.25">
      <c r="A21" s="104">
        <v>17</v>
      </c>
      <c r="B21" s="103" t="s">
        <v>333</v>
      </c>
      <c r="C21" s="200" t="s">
        <v>323</v>
      </c>
      <c r="D21" s="104" t="s">
        <v>338</v>
      </c>
      <c r="E21" s="104"/>
      <c r="F21" s="137"/>
      <c r="G21" s="104">
        <v>1</v>
      </c>
      <c r="H21" s="104" t="s">
        <v>113</v>
      </c>
      <c r="I21" s="104">
        <v>4</v>
      </c>
      <c r="J21" s="194">
        <f t="shared" si="0"/>
        <v>4</v>
      </c>
      <c r="K21" s="104" t="s">
        <v>341</v>
      </c>
      <c r="L21" s="104"/>
      <c r="M21" s="197" t="s">
        <v>354</v>
      </c>
      <c r="N21" s="137"/>
      <c r="O21" s="173"/>
      <c r="P21" s="140">
        <v>1</v>
      </c>
      <c r="Q21" s="104">
        <v>3</v>
      </c>
      <c r="R21" s="193" cm="1">
        <f t="array" ref="R21">P21*Q21</f>
        <v>3</v>
      </c>
      <c r="S21" s="139"/>
      <c r="T21" s="172"/>
      <c r="U21" s="128" t="s">
        <v>286</v>
      </c>
      <c r="V21" s="128" t="s">
        <v>307</v>
      </c>
      <c r="W21" s="168"/>
      <c r="X21" s="169"/>
      <c r="Y21" s="170"/>
    </row>
    <row r="22" spans="1:25" s="171" customFormat="1" ht="66.75" customHeight="1" x14ac:dyDescent="0.25">
      <c r="A22" s="104">
        <v>18</v>
      </c>
      <c r="B22" s="103" t="s">
        <v>333</v>
      </c>
      <c r="C22" s="200" t="s">
        <v>324</v>
      </c>
      <c r="D22" s="104" t="s">
        <v>338</v>
      </c>
      <c r="E22" s="104"/>
      <c r="F22" s="137"/>
      <c r="G22" s="104">
        <v>1</v>
      </c>
      <c r="H22" s="104" t="s">
        <v>115</v>
      </c>
      <c r="I22" s="104">
        <v>4</v>
      </c>
      <c r="J22" s="194">
        <f t="shared" si="0"/>
        <v>4</v>
      </c>
      <c r="K22" s="104" t="s">
        <v>341</v>
      </c>
      <c r="L22" s="104"/>
      <c r="M22" s="197" t="s">
        <v>355</v>
      </c>
      <c r="N22" s="137"/>
      <c r="O22" s="173"/>
      <c r="P22" s="140">
        <v>1</v>
      </c>
      <c r="Q22" s="104">
        <v>3</v>
      </c>
      <c r="R22" s="193" cm="1">
        <f t="array" ref="R22">P22*Q22</f>
        <v>3</v>
      </c>
      <c r="S22" s="139"/>
      <c r="T22" s="172"/>
      <c r="U22" s="128" t="s">
        <v>286</v>
      </c>
      <c r="V22" s="128" t="s">
        <v>308</v>
      </c>
      <c r="W22" s="168" t="s">
        <v>361</v>
      </c>
      <c r="X22" s="169"/>
      <c r="Y22" s="170"/>
    </row>
    <row r="23" spans="1:25" s="171" customFormat="1" ht="72" customHeight="1" x14ac:dyDescent="0.25">
      <c r="A23" s="104">
        <v>19</v>
      </c>
      <c r="B23" s="103" t="s">
        <v>333</v>
      </c>
      <c r="C23" s="199" t="s">
        <v>325</v>
      </c>
      <c r="D23" s="104" t="s">
        <v>335</v>
      </c>
      <c r="E23" s="104"/>
      <c r="F23" s="137"/>
      <c r="G23" s="104">
        <v>4</v>
      </c>
      <c r="H23" s="104" t="s">
        <v>117</v>
      </c>
      <c r="I23" s="104">
        <v>5</v>
      </c>
      <c r="J23" s="194">
        <f t="shared" si="0"/>
        <v>20</v>
      </c>
      <c r="K23" s="104" t="s">
        <v>341</v>
      </c>
      <c r="L23" s="104"/>
      <c r="M23" s="197" t="s">
        <v>356</v>
      </c>
      <c r="N23" s="137"/>
      <c r="O23" s="173"/>
      <c r="P23" s="140">
        <v>2</v>
      </c>
      <c r="Q23" s="104">
        <v>4</v>
      </c>
      <c r="R23" s="193" cm="1">
        <f t="array" ref="R23">P23*Q23</f>
        <v>8</v>
      </c>
      <c r="S23" s="139"/>
      <c r="T23" s="172"/>
      <c r="U23" s="128" t="s">
        <v>288</v>
      </c>
      <c r="V23" s="128" t="s">
        <v>308</v>
      </c>
      <c r="W23" s="168" t="s">
        <v>361</v>
      </c>
      <c r="X23" s="169"/>
      <c r="Y23" s="170"/>
    </row>
    <row r="24" spans="1:25" s="171" customFormat="1" ht="72.75" customHeight="1" x14ac:dyDescent="0.25">
      <c r="A24" s="104">
        <v>20</v>
      </c>
      <c r="B24" s="103" t="s">
        <v>333</v>
      </c>
      <c r="C24" s="200" t="s">
        <v>326</v>
      </c>
      <c r="D24" s="104" t="s">
        <v>338</v>
      </c>
      <c r="E24" s="104"/>
      <c r="F24" s="137"/>
      <c r="G24" s="104">
        <v>1</v>
      </c>
      <c r="H24" s="104" t="s">
        <v>117</v>
      </c>
      <c r="I24" s="104">
        <v>4</v>
      </c>
      <c r="J24" s="194">
        <f t="shared" si="0"/>
        <v>4</v>
      </c>
      <c r="K24" s="104" t="s">
        <v>341</v>
      </c>
      <c r="L24" s="104"/>
      <c r="M24" s="197" t="s">
        <v>357</v>
      </c>
      <c r="N24" s="137"/>
      <c r="O24" s="173"/>
      <c r="P24" s="140">
        <v>1</v>
      </c>
      <c r="Q24" s="104">
        <v>3</v>
      </c>
      <c r="R24" s="193" cm="1">
        <f t="array" ref="R24">P24*Q24</f>
        <v>3</v>
      </c>
      <c r="S24" s="139"/>
      <c r="T24" s="172"/>
      <c r="U24" s="128" t="s">
        <v>288</v>
      </c>
      <c r="V24" s="128" t="s">
        <v>306</v>
      </c>
      <c r="W24" s="168"/>
      <c r="X24" s="169"/>
      <c r="Y24" s="170"/>
    </row>
    <row r="25" spans="1:25" s="171" customFormat="1" ht="72" customHeight="1" x14ac:dyDescent="0.25">
      <c r="A25" s="104">
        <v>21</v>
      </c>
      <c r="B25" s="103" t="s">
        <v>333</v>
      </c>
      <c r="C25" s="201" t="s">
        <v>327</v>
      </c>
      <c r="D25" s="104" t="s">
        <v>339</v>
      </c>
      <c r="E25" s="104"/>
      <c r="F25" s="137"/>
      <c r="G25" s="104">
        <v>2</v>
      </c>
      <c r="H25" s="104" t="s">
        <v>340</v>
      </c>
      <c r="I25" s="104">
        <v>5</v>
      </c>
      <c r="J25" s="194">
        <f t="shared" si="0"/>
        <v>10</v>
      </c>
      <c r="K25" s="104" t="s">
        <v>342</v>
      </c>
      <c r="L25" s="104"/>
      <c r="M25" s="197" t="s">
        <v>370</v>
      </c>
      <c r="N25" s="137"/>
      <c r="O25" s="173"/>
      <c r="P25" s="140">
        <v>1</v>
      </c>
      <c r="Q25" s="104">
        <v>4</v>
      </c>
      <c r="R25" s="193" cm="1">
        <f t="array" ref="R25">P25*Q25</f>
        <v>4</v>
      </c>
      <c r="S25" s="139"/>
      <c r="T25" s="172"/>
      <c r="U25" s="128" t="s">
        <v>290</v>
      </c>
      <c r="V25" s="128" t="s">
        <v>308</v>
      </c>
      <c r="W25" s="168" t="s">
        <v>361</v>
      </c>
      <c r="X25" s="169"/>
      <c r="Y25" s="170"/>
    </row>
    <row r="26" spans="1:25" s="171" customFormat="1" ht="73.5" customHeight="1" x14ac:dyDescent="0.25">
      <c r="A26" s="104">
        <v>22</v>
      </c>
      <c r="B26" s="103" t="s">
        <v>333</v>
      </c>
      <c r="C26" s="200" t="s">
        <v>328</v>
      </c>
      <c r="D26" s="104" t="s">
        <v>334</v>
      </c>
      <c r="E26" s="104"/>
      <c r="F26" s="137"/>
      <c r="G26" s="104">
        <v>1</v>
      </c>
      <c r="H26" s="104" t="s">
        <v>117</v>
      </c>
      <c r="I26" s="104">
        <v>5</v>
      </c>
      <c r="J26" s="194">
        <f t="shared" si="0"/>
        <v>5</v>
      </c>
      <c r="K26" s="104" t="s">
        <v>341</v>
      </c>
      <c r="L26" s="104"/>
      <c r="M26" s="197" t="s">
        <v>371</v>
      </c>
      <c r="N26" s="137"/>
      <c r="O26" s="173"/>
      <c r="P26" s="140">
        <v>1</v>
      </c>
      <c r="Q26" s="104">
        <v>4</v>
      </c>
      <c r="R26" s="193" cm="1">
        <f t="array" ref="R26">P26*Q26</f>
        <v>4</v>
      </c>
      <c r="S26" s="139"/>
      <c r="T26" s="172"/>
      <c r="U26" s="128" t="s">
        <v>290</v>
      </c>
      <c r="V26" s="128" t="s">
        <v>306</v>
      </c>
      <c r="W26" s="168"/>
      <c r="X26" s="169"/>
      <c r="Y26" s="170"/>
    </row>
    <row r="27" spans="1:25" s="171" customFormat="1" ht="75.75" customHeight="1" x14ac:dyDescent="0.25">
      <c r="A27" s="104">
        <v>23</v>
      </c>
      <c r="B27" s="103" t="s">
        <v>333</v>
      </c>
      <c r="C27" s="200" t="s">
        <v>329</v>
      </c>
      <c r="D27" s="104" t="s">
        <v>334</v>
      </c>
      <c r="E27" s="104"/>
      <c r="F27" s="137"/>
      <c r="G27" s="104">
        <v>3</v>
      </c>
      <c r="H27" s="104" t="s">
        <v>117</v>
      </c>
      <c r="I27" s="104">
        <v>5</v>
      </c>
      <c r="J27" s="194">
        <f t="shared" si="0"/>
        <v>15</v>
      </c>
      <c r="K27" s="104" t="s">
        <v>343</v>
      </c>
      <c r="L27" s="104"/>
      <c r="M27" s="197" t="s">
        <v>358</v>
      </c>
      <c r="N27" s="137"/>
      <c r="O27" s="173"/>
      <c r="P27" s="140">
        <v>1</v>
      </c>
      <c r="Q27" s="104">
        <v>4</v>
      </c>
      <c r="R27" s="193" cm="1">
        <f t="array" ref="R27">P27*Q27</f>
        <v>4</v>
      </c>
      <c r="S27" s="139"/>
      <c r="T27" s="172"/>
      <c r="U27" s="128" t="s">
        <v>304</v>
      </c>
      <c r="V27" s="128" t="s">
        <v>307</v>
      </c>
      <c r="W27" s="168" t="s">
        <v>361</v>
      </c>
      <c r="X27" s="169"/>
      <c r="Y27" s="170"/>
    </row>
    <row r="28" spans="1:25" s="171" customFormat="1" ht="69" customHeight="1" x14ac:dyDescent="0.25">
      <c r="A28" s="104">
        <v>24</v>
      </c>
      <c r="B28" s="103" t="s">
        <v>333</v>
      </c>
      <c r="C28" s="200" t="s">
        <v>330</v>
      </c>
      <c r="D28" s="104" t="s">
        <v>336</v>
      </c>
      <c r="E28" s="104"/>
      <c r="F28" s="137"/>
      <c r="G28" s="104">
        <v>1</v>
      </c>
      <c r="H28" s="104" t="s">
        <v>114</v>
      </c>
      <c r="I28" s="104">
        <v>4</v>
      </c>
      <c r="J28" s="194">
        <f t="shared" si="0"/>
        <v>4</v>
      </c>
      <c r="K28" s="104" t="s">
        <v>343</v>
      </c>
      <c r="L28" s="104"/>
      <c r="M28" s="197" t="s">
        <v>359</v>
      </c>
      <c r="N28" s="137"/>
      <c r="O28" s="173"/>
      <c r="P28" s="140">
        <v>1</v>
      </c>
      <c r="Q28" s="104">
        <v>3</v>
      </c>
      <c r="R28" s="193" cm="1">
        <f t="array" ref="R28">P28*Q28</f>
        <v>3</v>
      </c>
      <c r="S28" s="139"/>
      <c r="T28" s="172"/>
      <c r="U28" s="128" t="s">
        <v>304</v>
      </c>
      <c r="V28" s="128" t="s">
        <v>306</v>
      </c>
      <c r="W28" s="168"/>
      <c r="X28" s="169"/>
      <c r="Y28" s="170"/>
    </row>
    <row r="29" spans="1:25" s="171" customFormat="1" ht="65.25" customHeight="1" x14ac:dyDescent="0.25">
      <c r="A29" s="104">
        <v>25</v>
      </c>
      <c r="B29" s="103" t="s">
        <v>333</v>
      </c>
      <c r="C29" s="201" t="s">
        <v>331</v>
      </c>
      <c r="D29" s="104" t="s">
        <v>336</v>
      </c>
      <c r="E29" s="104"/>
      <c r="F29" s="137"/>
      <c r="G29" s="104">
        <v>3</v>
      </c>
      <c r="H29" s="104" t="s">
        <v>115</v>
      </c>
      <c r="I29" s="104">
        <v>3</v>
      </c>
      <c r="J29" s="194">
        <f t="shared" si="0"/>
        <v>9</v>
      </c>
      <c r="K29" s="104" t="s">
        <v>341</v>
      </c>
      <c r="L29" s="104"/>
      <c r="M29" s="197" t="s">
        <v>372</v>
      </c>
      <c r="N29" s="137"/>
      <c r="O29" s="173"/>
      <c r="P29" s="140">
        <v>2</v>
      </c>
      <c r="Q29" s="104">
        <v>2</v>
      </c>
      <c r="R29" s="193" cm="1">
        <f t="array" ref="R29">P29*Q29</f>
        <v>4</v>
      </c>
      <c r="S29" s="139"/>
      <c r="T29" s="172"/>
      <c r="U29" s="128" t="s">
        <v>305</v>
      </c>
      <c r="V29" s="128" t="s">
        <v>306</v>
      </c>
      <c r="W29" s="168" t="s">
        <v>361</v>
      </c>
      <c r="X29" s="169"/>
      <c r="Y29" s="170"/>
    </row>
    <row r="30" spans="1:25" s="171" customFormat="1" ht="60" customHeight="1" x14ac:dyDescent="0.25">
      <c r="A30" s="104">
        <v>26</v>
      </c>
      <c r="B30" s="103" t="s">
        <v>333</v>
      </c>
      <c r="C30" s="200" t="s">
        <v>332</v>
      </c>
      <c r="D30" s="104" t="s">
        <v>336</v>
      </c>
      <c r="E30" s="104"/>
      <c r="F30" s="137"/>
      <c r="G30" s="104">
        <v>1</v>
      </c>
      <c r="H30" s="104" t="s">
        <v>114</v>
      </c>
      <c r="I30" s="104">
        <v>3</v>
      </c>
      <c r="J30" s="194">
        <f t="shared" si="0"/>
        <v>3</v>
      </c>
      <c r="K30" s="104" t="s">
        <v>341</v>
      </c>
      <c r="L30" s="104"/>
      <c r="M30" s="197" t="s">
        <v>360</v>
      </c>
      <c r="N30" s="137"/>
      <c r="O30" s="173"/>
      <c r="P30" s="140">
        <v>1</v>
      </c>
      <c r="Q30" s="104">
        <v>2</v>
      </c>
      <c r="R30" s="193" cm="1">
        <f t="array" ref="R30">P30*Q30</f>
        <v>2</v>
      </c>
      <c r="S30" s="139"/>
      <c r="T30" s="172"/>
      <c r="U30" s="128" t="s">
        <v>305</v>
      </c>
      <c r="V30" s="128" t="s">
        <v>308</v>
      </c>
      <c r="W30" s="168" t="s">
        <v>361</v>
      </c>
      <c r="X30" s="169"/>
      <c r="Y30" s="170"/>
    </row>
    <row r="31" spans="1:25" s="171" customFormat="1" ht="12.75" x14ac:dyDescent="0.25">
      <c r="A31" s="104"/>
      <c r="B31" s="104"/>
      <c r="C31" s="105"/>
      <c r="D31" s="104"/>
      <c r="E31" s="104"/>
      <c r="F31" s="137"/>
      <c r="G31" s="104"/>
      <c r="H31" s="104"/>
      <c r="I31" s="104"/>
      <c r="J31" s="194">
        <f t="shared" si="0"/>
        <v>0</v>
      </c>
      <c r="K31" s="104"/>
      <c r="L31" s="104"/>
      <c r="M31" s="106"/>
      <c r="N31" s="137"/>
      <c r="O31" s="173"/>
      <c r="P31" s="140"/>
      <c r="Q31" s="104"/>
      <c r="R31" s="193" cm="1">
        <f t="array" ref="R31">P31*Q31</f>
        <v>0</v>
      </c>
      <c r="S31" s="139"/>
      <c r="T31" s="172"/>
      <c r="U31" s="128"/>
      <c r="V31" s="128"/>
      <c r="W31" s="168"/>
      <c r="X31" s="169"/>
      <c r="Y31" s="170"/>
    </row>
    <row r="32" spans="1:25" s="171" customFormat="1" ht="12.75" x14ac:dyDescent="0.25">
      <c r="A32" s="104"/>
      <c r="B32" s="104"/>
      <c r="C32" s="105"/>
      <c r="D32" s="104"/>
      <c r="E32" s="104"/>
      <c r="F32" s="137"/>
      <c r="G32" s="104"/>
      <c r="H32" s="104"/>
      <c r="I32" s="104"/>
      <c r="J32" s="194">
        <f t="shared" si="0"/>
        <v>0</v>
      </c>
      <c r="K32" s="104"/>
      <c r="L32" s="104"/>
      <c r="M32" s="106"/>
      <c r="N32" s="137"/>
      <c r="O32" s="173"/>
      <c r="P32" s="140"/>
      <c r="Q32" s="104"/>
      <c r="R32" s="193" cm="1">
        <f t="array" ref="R32">P32*Q32</f>
        <v>0</v>
      </c>
      <c r="S32" s="139"/>
      <c r="T32" s="172"/>
      <c r="U32" s="128"/>
      <c r="V32" s="128"/>
      <c r="W32" s="168"/>
      <c r="X32" s="169"/>
      <c r="Y32" s="170"/>
    </row>
    <row r="33" spans="1:25" s="171" customFormat="1" ht="12.75" x14ac:dyDescent="0.25">
      <c r="A33" s="104"/>
      <c r="B33" s="104"/>
      <c r="C33" s="105"/>
      <c r="D33" s="104"/>
      <c r="E33" s="104"/>
      <c r="F33" s="137"/>
      <c r="G33" s="104"/>
      <c r="H33" s="104"/>
      <c r="I33" s="104"/>
      <c r="J33" s="194">
        <f t="shared" si="0"/>
        <v>0</v>
      </c>
      <c r="K33" s="104"/>
      <c r="L33" s="104"/>
      <c r="M33" s="106"/>
      <c r="N33" s="137"/>
      <c r="O33" s="173"/>
      <c r="P33" s="140"/>
      <c r="Q33" s="104"/>
      <c r="R33" s="193" cm="1">
        <f t="array" ref="R33">P33*Q33</f>
        <v>0</v>
      </c>
      <c r="S33" s="139"/>
      <c r="T33" s="172"/>
      <c r="U33" s="128"/>
      <c r="V33" s="128"/>
      <c r="W33" s="168"/>
      <c r="X33" s="169"/>
      <c r="Y33" s="170"/>
    </row>
    <row r="34" spans="1:25" s="171" customFormat="1" ht="12.75" x14ac:dyDescent="0.25">
      <c r="A34" s="104"/>
      <c r="B34" s="104"/>
      <c r="C34" s="105"/>
      <c r="D34" s="104"/>
      <c r="E34" s="104"/>
      <c r="F34" s="137"/>
      <c r="G34" s="104"/>
      <c r="H34" s="104"/>
      <c r="I34" s="104"/>
      <c r="J34" s="194">
        <f t="shared" si="0"/>
        <v>0</v>
      </c>
      <c r="K34" s="104"/>
      <c r="L34" s="104"/>
      <c r="M34" s="106"/>
      <c r="N34" s="137"/>
      <c r="O34" s="173"/>
      <c r="P34" s="140"/>
      <c r="Q34" s="104"/>
      <c r="R34" s="193" cm="1">
        <f t="array" ref="R34">P34*Q34</f>
        <v>0</v>
      </c>
      <c r="S34" s="139"/>
      <c r="T34" s="172"/>
      <c r="U34" s="128"/>
      <c r="V34" s="128"/>
      <c r="W34" s="168"/>
      <c r="X34" s="169"/>
      <c r="Y34" s="170"/>
    </row>
    <row r="35" spans="1:25" s="171" customFormat="1" ht="12.75" x14ac:dyDescent="0.25">
      <c r="A35" s="104"/>
      <c r="B35" s="104"/>
      <c r="C35" s="105"/>
      <c r="D35" s="104"/>
      <c r="E35" s="104"/>
      <c r="F35" s="137"/>
      <c r="G35" s="104"/>
      <c r="H35" s="104"/>
      <c r="I35" s="104"/>
      <c r="J35" s="194">
        <f t="shared" si="0"/>
        <v>0</v>
      </c>
      <c r="K35" s="104"/>
      <c r="L35" s="104"/>
      <c r="M35" s="106"/>
      <c r="N35" s="137"/>
      <c r="O35" s="173"/>
      <c r="P35" s="140"/>
      <c r="Q35" s="104"/>
      <c r="R35" s="193" cm="1">
        <f t="array" ref="R35">P35*Q35</f>
        <v>0</v>
      </c>
      <c r="S35" s="139"/>
      <c r="T35" s="172"/>
      <c r="U35" s="128"/>
      <c r="V35" s="128"/>
      <c r="W35" s="168"/>
      <c r="X35" s="169"/>
      <c r="Y35" s="170"/>
    </row>
    <row r="36" spans="1:25" s="171" customFormat="1" ht="12.75" x14ac:dyDescent="0.25">
      <c r="A36" s="104"/>
      <c r="B36" s="104"/>
      <c r="C36" s="105"/>
      <c r="D36" s="104"/>
      <c r="E36" s="104"/>
      <c r="F36" s="137"/>
      <c r="G36" s="104"/>
      <c r="H36" s="104"/>
      <c r="I36" s="104"/>
      <c r="J36" s="194">
        <f t="shared" si="0"/>
        <v>0</v>
      </c>
      <c r="K36" s="104"/>
      <c r="L36" s="104"/>
      <c r="M36" s="106"/>
      <c r="N36" s="137"/>
      <c r="O36" s="173"/>
      <c r="P36" s="140"/>
      <c r="Q36" s="104"/>
      <c r="R36" s="193" cm="1">
        <f t="array" ref="R36">P36*Q36</f>
        <v>0</v>
      </c>
      <c r="S36" s="139"/>
      <c r="T36" s="172"/>
      <c r="U36" s="128"/>
      <c r="V36" s="128"/>
      <c r="W36" s="168"/>
      <c r="X36" s="169"/>
      <c r="Y36" s="170"/>
    </row>
    <row r="37" spans="1:25" s="171" customFormat="1" ht="12.75" x14ac:dyDescent="0.25">
      <c r="A37" s="104"/>
      <c r="B37" s="104"/>
      <c r="C37" s="105"/>
      <c r="D37" s="104"/>
      <c r="E37" s="104"/>
      <c r="F37" s="137"/>
      <c r="G37" s="104"/>
      <c r="H37" s="104"/>
      <c r="I37" s="104"/>
      <c r="J37" s="194">
        <f t="shared" si="0"/>
        <v>0</v>
      </c>
      <c r="K37" s="104"/>
      <c r="L37" s="104"/>
      <c r="M37" s="106"/>
      <c r="N37" s="137"/>
      <c r="O37" s="173"/>
      <c r="P37" s="140"/>
      <c r="Q37" s="104"/>
      <c r="R37" s="193" cm="1">
        <f t="array" ref="R37">P37*Q37</f>
        <v>0</v>
      </c>
      <c r="S37" s="139"/>
      <c r="T37" s="172"/>
      <c r="U37" s="128"/>
      <c r="V37" s="128"/>
      <c r="W37" s="168"/>
      <c r="X37" s="169"/>
      <c r="Y37" s="170"/>
    </row>
    <row r="38" spans="1:25" s="171" customFormat="1" ht="12.75" x14ac:dyDescent="0.25">
      <c r="A38" s="104"/>
      <c r="B38" s="104"/>
      <c r="C38" s="105"/>
      <c r="D38" s="104"/>
      <c r="E38" s="104"/>
      <c r="F38" s="137"/>
      <c r="G38" s="104"/>
      <c r="H38" s="104"/>
      <c r="I38" s="104"/>
      <c r="J38" s="194">
        <f t="shared" si="0"/>
        <v>0</v>
      </c>
      <c r="K38" s="104"/>
      <c r="L38" s="104"/>
      <c r="M38" s="106"/>
      <c r="N38" s="137"/>
      <c r="O38" s="173"/>
      <c r="P38" s="140"/>
      <c r="Q38" s="104"/>
      <c r="R38" s="193" cm="1">
        <f t="array" ref="R38">P38*Q38</f>
        <v>0</v>
      </c>
      <c r="S38" s="139"/>
      <c r="T38" s="172"/>
      <c r="U38" s="128"/>
      <c r="V38" s="128"/>
      <c r="W38" s="168"/>
      <c r="X38" s="169"/>
      <c r="Y38" s="170"/>
    </row>
    <row r="39" spans="1:25" s="171" customFormat="1" ht="12.75" x14ac:dyDescent="0.25">
      <c r="A39" s="104"/>
      <c r="B39" s="104"/>
      <c r="C39" s="105"/>
      <c r="D39" s="104"/>
      <c r="E39" s="104"/>
      <c r="F39" s="137"/>
      <c r="G39" s="104"/>
      <c r="H39" s="104"/>
      <c r="I39" s="104"/>
      <c r="J39" s="194">
        <f t="shared" si="0"/>
        <v>0</v>
      </c>
      <c r="K39" s="104"/>
      <c r="L39" s="104"/>
      <c r="M39" s="106"/>
      <c r="N39" s="137"/>
      <c r="O39" s="173"/>
      <c r="P39" s="140"/>
      <c r="Q39" s="104"/>
      <c r="R39" s="193" cm="1">
        <f t="array" ref="R39">P39*Q39</f>
        <v>0</v>
      </c>
      <c r="S39" s="139"/>
      <c r="T39" s="172"/>
      <c r="U39" s="128"/>
      <c r="V39" s="128"/>
      <c r="W39" s="168"/>
      <c r="X39" s="169"/>
      <c r="Y39" s="170"/>
    </row>
    <row r="40" spans="1:25" s="171" customFormat="1" ht="12.75" x14ac:dyDescent="0.25">
      <c r="A40" s="104"/>
      <c r="B40" s="104"/>
      <c r="C40" s="105"/>
      <c r="D40" s="104"/>
      <c r="E40" s="104"/>
      <c r="F40" s="137"/>
      <c r="G40" s="104"/>
      <c r="H40" s="104"/>
      <c r="I40" s="104"/>
      <c r="J40" s="194">
        <f t="shared" si="0"/>
        <v>0</v>
      </c>
      <c r="K40" s="104"/>
      <c r="L40" s="104"/>
      <c r="M40" s="106"/>
      <c r="N40" s="137"/>
      <c r="O40" s="173"/>
      <c r="P40" s="140"/>
      <c r="Q40" s="104"/>
      <c r="R40" s="193" cm="1">
        <f t="array" ref="R40">P40*Q40</f>
        <v>0</v>
      </c>
      <c r="S40" s="139"/>
      <c r="T40" s="172"/>
      <c r="U40" s="128"/>
      <c r="V40" s="128"/>
      <c r="W40" s="168"/>
      <c r="X40" s="169"/>
      <c r="Y40" s="170"/>
    </row>
    <row r="41" spans="1:25" s="171" customFormat="1" ht="12.75" x14ac:dyDescent="0.25">
      <c r="A41" s="104"/>
      <c r="B41" s="104"/>
      <c r="C41" s="105"/>
      <c r="D41" s="104"/>
      <c r="E41" s="104"/>
      <c r="F41" s="137"/>
      <c r="G41" s="104"/>
      <c r="H41" s="104"/>
      <c r="I41" s="104"/>
      <c r="J41" s="194">
        <f t="shared" si="0"/>
        <v>0</v>
      </c>
      <c r="K41" s="104"/>
      <c r="L41" s="104"/>
      <c r="M41" s="106"/>
      <c r="N41" s="137"/>
      <c r="O41" s="173"/>
      <c r="P41" s="140"/>
      <c r="Q41" s="104"/>
      <c r="R41" s="193" cm="1">
        <f t="array" ref="R41">P41*Q41</f>
        <v>0</v>
      </c>
      <c r="S41" s="139"/>
      <c r="T41" s="172"/>
      <c r="U41" s="128"/>
      <c r="V41" s="128"/>
      <c r="W41" s="168"/>
      <c r="X41" s="169"/>
      <c r="Y41" s="170"/>
    </row>
    <row r="42" spans="1:25" s="171" customFormat="1" ht="12.75" x14ac:dyDescent="0.25">
      <c r="A42" s="104"/>
      <c r="B42" s="104"/>
      <c r="C42" s="105"/>
      <c r="D42" s="104"/>
      <c r="E42" s="104"/>
      <c r="F42" s="137"/>
      <c r="G42" s="104"/>
      <c r="H42" s="104"/>
      <c r="I42" s="104"/>
      <c r="J42" s="194">
        <f t="shared" si="0"/>
        <v>0</v>
      </c>
      <c r="K42" s="104"/>
      <c r="L42" s="104"/>
      <c r="M42" s="106"/>
      <c r="N42" s="137"/>
      <c r="O42" s="173"/>
      <c r="P42" s="140"/>
      <c r="Q42" s="104"/>
      <c r="R42" s="193" cm="1">
        <f t="array" ref="R42">P42*Q42</f>
        <v>0</v>
      </c>
      <c r="S42" s="139"/>
      <c r="T42" s="172"/>
      <c r="U42" s="128"/>
      <c r="V42" s="128"/>
      <c r="W42" s="168"/>
      <c r="X42" s="169"/>
      <c r="Y42" s="170"/>
    </row>
    <row r="43" spans="1:25" s="171" customFormat="1" ht="12.75" x14ac:dyDescent="0.25">
      <c r="A43" s="104"/>
      <c r="B43" s="104"/>
      <c r="C43" s="105"/>
      <c r="D43" s="104"/>
      <c r="E43" s="104"/>
      <c r="F43" s="137"/>
      <c r="G43" s="104"/>
      <c r="H43" s="104"/>
      <c r="I43" s="104"/>
      <c r="J43" s="194">
        <f t="shared" si="0"/>
        <v>0</v>
      </c>
      <c r="K43" s="104"/>
      <c r="L43" s="104"/>
      <c r="M43" s="106"/>
      <c r="N43" s="137"/>
      <c r="O43" s="173"/>
      <c r="P43" s="140"/>
      <c r="Q43" s="104"/>
      <c r="R43" s="193" cm="1">
        <f t="array" ref="R43">P43*Q43</f>
        <v>0</v>
      </c>
      <c r="S43" s="139"/>
      <c r="T43" s="172"/>
      <c r="U43" s="128"/>
      <c r="V43" s="128"/>
      <c r="W43" s="168"/>
      <c r="X43" s="169"/>
      <c r="Y43" s="170"/>
    </row>
    <row r="44" spans="1:25" s="171" customFormat="1" ht="12.75" x14ac:dyDescent="0.25">
      <c r="A44" s="104"/>
      <c r="B44" s="104"/>
      <c r="C44" s="105"/>
      <c r="D44" s="104"/>
      <c r="E44" s="104"/>
      <c r="F44" s="137"/>
      <c r="G44" s="104"/>
      <c r="H44" s="104"/>
      <c r="I44" s="104"/>
      <c r="J44" s="194">
        <f t="shared" si="0"/>
        <v>0</v>
      </c>
      <c r="K44" s="104"/>
      <c r="L44" s="104"/>
      <c r="M44" s="106"/>
      <c r="N44" s="137"/>
      <c r="O44" s="173"/>
      <c r="P44" s="140"/>
      <c r="Q44" s="104"/>
      <c r="R44" s="193" cm="1">
        <f t="array" ref="R44">P44*Q44</f>
        <v>0</v>
      </c>
      <c r="S44" s="139"/>
      <c r="T44" s="172"/>
      <c r="U44" s="128"/>
      <c r="V44" s="128"/>
      <c r="W44" s="168"/>
      <c r="X44" s="169"/>
      <c r="Y44" s="170"/>
    </row>
    <row r="45" spans="1:25" s="171" customFormat="1" ht="12.75" x14ac:dyDescent="0.25">
      <c r="A45" s="104"/>
      <c r="B45" s="104"/>
      <c r="C45" s="105"/>
      <c r="D45" s="104"/>
      <c r="E45" s="104"/>
      <c r="F45" s="137"/>
      <c r="G45" s="104"/>
      <c r="H45" s="104"/>
      <c r="I45" s="104"/>
      <c r="J45" s="194">
        <f t="shared" si="0"/>
        <v>0</v>
      </c>
      <c r="K45" s="104"/>
      <c r="L45" s="104"/>
      <c r="M45" s="106"/>
      <c r="N45" s="137"/>
      <c r="O45" s="173"/>
      <c r="P45" s="140"/>
      <c r="Q45" s="104"/>
      <c r="R45" s="193" cm="1">
        <f t="array" ref="R45">P45*Q45</f>
        <v>0</v>
      </c>
      <c r="S45" s="139"/>
      <c r="T45" s="172"/>
      <c r="U45" s="128"/>
      <c r="V45" s="128"/>
      <c r="W45" s="168"/>
      <c r="X45" s="169"/>
      <c r="Y45" s="170"/>
    </row>
    <row r="46" spans="1:25" s="171" customFormat="1" ht="12.75" x14ac:dyDescent="0.25">
      <c r="A46" s="104"/>
      <c r="B46" s="104"/>
      <c r="C46" s="105"/>
      <c r="D46" s="104"/>
      <c r="E46" s="104"/>
      <c r="F46" s="137"/>
      <c r="G46" s="104"/>
      <c r="H46" s="104"/>
      <c r="I46" s="104"/>
      <c r="J46" s="194">
        <f t="shared" si="0"/>
        <v>0</v>
      </c>
      <c r="K46" s="104"/>
      <c r="L46" s="104"/>
      <c r="M46" s="106"/>
      <c r="N46" s="137"/>
      <c r="O46" s="173"/>
      <c r="P46" s="140"/>
      <c r="Q46" s="104"/>
      <c r="R46" s="193" cm="1">
        <f t="array" ref="R46">P46*Q46</f>
        <v>0</v>
      </c>
      <c r="S46" s="139"/>
      <c r="T46" s="172"/>
      <c r="U46" s="128"/>
      <c r="V46" s="128"/>
      <c r="W46" s="168"/>
      <c r="X46" s="169"/>
      <c r="Y46" s="170"/>
    </row>
    <row r="47" spans="1:25" s="171" customFormat="1" ht="12.75" x14ac:dyDescent="0.25">
      <c r="A47" s="104"/>
      <c r="B47" s="104"/>
      <c r="C47" s="105"/>
      <c r="D47" s="104"/>
      <c r="E47" s="104"/>
      <c r="F47" s="137"/>
      <c r="G47" s="104"/>
      <c r="H47" s="104"/>
      <c r="I47" s="104"/>
      <c r="J47" s="194">
        <f t="shared" si="0"/>
        <v>0</v>
      </c>
      <c r="K47" s="104"/>
      <c r="L47" s="104"/>
      <c r="M47" s="106"/>
      <c r="N47" s="137"/>
      <c r="O47" s="173"/>
      <c r="P47" s="140"/>
      <c r="Q47" s="104"/>
      <c r="R47" s="193" cm="1">
        <f t="array" ref="R47">P47*Q47</f>
        <v>0</v>
      </c>
      <c r="S47" s="139"/>
      <c r="T47" s="172"/>
      <c r="U47" s="128"/>
      <c r="V47" s="128"/>
      <c r="W47" s="168"/>
      <c r="X47" s="169"/>
      <c r="Y47" s="170"/>
    </row>
    <row r="48" spans="1:25" s="171" customFormat="1" ht="12.75" x14ac:dyDescent="0.25">
      <c r="A48" s="104"/>
      <c r="B48" s="104"/>
      <c r="C48" s="105"/>
      <c r="D48" s="104"/>
      <c r="E48" s="104"/>
      <c r="F48" s="137"/>
      <c r="G48" s="104"/>
      <c r="H48" s="104"/>
      <c r="I48" s="104"/>
      <c r="J48" s="194">
        <f t="shared" si="0"/>
        <v>0</v>
      </c>
      <c r="K48" s="104"/>
      <c r="L48" s="104"/>
      <c r="M48" s="106"/>
      <c r="N48" s="137"/>
      <c r="O48" s="173"/>
      <c r="P48" s="140"/>
      <c r="Q48" s="104"/>
      <c r="R48" s="193" cm="1">
        <f t="array" ref="R48">P48*Q48</f>
        <v>0</v>
      </c>
      <c r="S48" s="139"/>
      <c r="T48" s="172"/>
      <c r="U48" s="128"/>
      <c r="V48" s="128"/>
      <c r="W48" s="168"/>
      <c r="X48" s="169"/>
      <c r="Y48" s="170"/>
    </row>
    <row r="49" spans="1:25" s="171" customFormat="1" ht="12.75" x14ac:dyDescent="0.25">
      <c r="A49" s="104"/>
      <c r="B49" s="104"/>
      <c r="C49" s="105"/>
      <c r="D49" s="104"/>
      <c r="E49" s="104"/>
      <c r="F49" s="137"/>
      <c r="G49" s="104"/>
      <c r="H49" s="104"/>
      <c r="I49" s="104"/>
      <c r="J49" s="194">
        <f t="shared" si="0"/>
        <v>0</v>
      </c>
      <c r="K49" s="104"/>
      <c r="L49" s="104"/>
      <c r="M49" s="106"/>
      <c r="N49" s="137"/>
      <c r="O49" s="173"/>
      <c r="P49" s="140"/>
      <c r="Q49" s="104"/>
      <c r="R49" s="193" cm="1">
        <f t="array" ref="R49">P49*Q49</f>
        <v>0</v>
      </c>
      <c r="S49" s="139"/>
      <c r="T49" s="172"/>
      <c r="U49" s="128"/>
      <c r="V49" s="128"/>
      <c r="W49" s="168"/>
      <c r="X49" s="169"/>
      <c r="Y49" s="170"/>
    </row>
    <row r="50" spans="1:25" s="171" customFormat="1" ht="12.75" x14ac:dyDescent="0.25">
      <c r="A50" s="104"/>
      <c r="B50" s="104"/>
      <c r="C50" s="105"/>
      <c r="D50" s="104"/>
      <c r="E50" s="104"/>
      <c r="F50" s="137"/>
      <c r="G50" s="104"/>
      <c r="H50" s="104"/>
      <c r="I50" s="104"/>
      <c r="J50" s="194">
        <f t="shared" si="0"/>
        <v>0</v>
      </c>
      <c r="K50" s="104"/>
      <c r="L50" s="104"/>
      <c r="M50" s="106"/>
      <c r="N50" s="137"/>
      <c r="O50" s="173"/>
      <c r="P50" s="140"/>
      <c r="Q50" s="104"/>
      <c r="R50" s="193" cm="1">
        <f t="array" ref="R50">P50*Q50</f>
        <v>0</v>
      </c>
      <c r="S50" s="139"/>
      <c r="T50" s="172"/>
      <c r="U50" s="128"/>
      <c r="V50" s="128"/>
      <c r="W50" s="168"/>
      <c r="X50" s="169"/>
      <c r="Y50" s="170"/>
    </row>
    <row r="51" spans="1:25" ht="30.6" customHeight="1" x14ac:dyDescent="0.25">
      <c r="A51" s="155" t="s">
        <v>110</v>
      </c>
      <c r="B51" s="156"/>
      <c r="C51" s="157"/>
      <c r="D51" s="156"/>
      <c r="E51" s="156"/>
      <c r="F51" s="158"/>
      <c r="G51" s="156">
        <f>MAX(G5:G50)</f>
        <v>4</v>
      </c>
      <c r="H51" s="156"/>
      <c r="I51" s="156">
        <f>MAX(I5:I50)</f>
        <v>5</v>
      </c>
      <c r="J51" s="156">
        <f>MAX(J5:J50)</f>
        <v>20</v>
      </c>
      <c r="K51" s="156"/>
      <c r="L51" s="156"/>
      <c r="M51" s="159"/>
      <c r="N51" s="158"/>
      <c r="O51" s="160"/>
      <c r="P51" s="156">
        <f t="shared" ref="P51:Q51" si="1">MAX(P5:P50)</f>
        <v>2</v>
      </c>
      <c r="Q51" s="156">
        <f t="shared" si="1"/>
        <v>4</v>
      </c>
      <c r="R51" s="156">
        <f>MAX(R5:R50)</f>
        <v>8</v>
      </c>
      <c r="S51" s="161"/>
      <c r="T51" s="162"/>
      <c r="U51" s="163"/>
      <c r="V51" s="163"/>
      <c r="W51" s="163"/>
      <c r="X51" s="163"/>
      <c r="Y51" s="164"/>
    </row>
  </sheetData>
  <protectedRanges>
    <protectedRange sqref="S5:S50" name="Range4"/>
    <protectedRange sqref="P5:Q50" name="Range3"/>
    <protectedRange sqref="K5:N50" name="Range2"/>
    <protectedRange sqref="B5:I50" name="Range1"/>
  </protectedRanges>
  <autoFilter ref="A4:Y51" xr:uid="{929BDEC8-BA7F-480E-B228-EF83D21016A4}"/>
  <mergeCells count="10">
    <mergeCell ref="U1:X1"/>
    <mergeCell ref="P1:R1"/>
    <mergeCell ref="P2:S2"/>
    <mergeCell ref="A2:B2"/>
    <mergeCell ref="C3:E3"/>
    <mergeCell ref="F3:J3"/>
    <mergeCell ref="K3:N3"/>
    <mergeCell ref="P3:S3"/>
    <mergeCell ref="I2:J2"/>
    <mergeCell ref="A1:N1"/>
  </mergeCells>
  <conditionalFormatting sqref="F5:F50">
    <cfRule type="expression" dxfId="27" priority="77">
      <formula>LEFT($L$2,3)="NOK"</formula>
    </cfRule>
    <cfRule type="expression" dxfId="26" priority="78">
      <formula>LEFT($L$2,3)="EUR"</formula>
    </cfRule>
    <cfRule type="expression" dxfId="25" priority="79">
      <formula>LEFT($L$2,3)="BRL"</formula>
    </cfRule>
    <cfRule type="expression" dxfId="24" priority="80">
      <formula>LEFT($L$2,3)="AOA"</formula>
    </cfRule>
    <cfRule type="expression" dxfId="23" priority="81">
      <formula>LEFT($L$2,3)="GBP"</formula>
    </cfRule>
    <cfRule type="expression" dxfId="22" priority="82">
      <formula>LEFT($L$2,3)="USD"</formula>
    </cfRule>
  </conditionalFormatting>
  <conditionalFormatting sqref="J5:J50">
    <cfRule type="expression" dxfId="21" priority="61">
      <formula>J5=0</formula>
    </cfRule>
    <cfRule type="expression" dxfId="20" priority="62">
      <formula>OR(AND(B5="Threat",J5&lt;=4),AND(B5="Opportunity",J5&gt;=12))</formula>
    </cfRule>
    <cfRule type="expression" dxfId="19" priority="63">
      <formula>OR(AND(B5="Threat",J5&gt;=5,J5&lt;=11),AND(B5="Opportunity",J5&gt;=5,J5&lt;=11))</formula>
    </cfRule>
    <cfRule type="expression" dxfId="18" priority="64">
      <formula>OR(AND(B5="Threat",J5&gt;=12),AND(B5="Opportunity",J5&lt;=4))</formula>
    </cfRule>
  </conditionalFormatting>
  <conditionalFormatting sqref="K5:K50">
    <cfRule type="expression" dxfId="17" priority="55">
      <formula>$B5="Opportunity"</formula>
    </cfRule>
  </conditionalFormatting>
  <conditionalFormatting sqref="L5:L50">
    <cfRule type="expression" dxfId="16" priority="56">
      <formula>$B5="Threat"</formula>
    </cfRule>
  </conditionalFormatting>
  <conditionalFormatting sqref="N5:N50">
    <cfRule type="expression" dxfId="15" priority="71">
      <formula>LEFT($L$2,3)="NOK"</formula>
    </cfRule>
    <cfRule type="expression" dxfId="14" priority="72">
      <formula>LEFT($L$2,3)="EUR"</formula>
    </cfRule>
    <cfRule type="expression" dxfId="13" priority="73">
      <formula>LEFT($L$2,3)="BRL"</formula>
    </cfRule>
    <cfRule type="expression" dxfId="12" priority="74">
      <formula>LEFT($L$2,3)="AOA"</formula>
    </cfRule>
    <cfRule type="expression" dxfId="11" priority="75">
      <formula>LEFT($L$2,3)="GBP"</formula>
    </cfRule>
    <cfRule type="expression" dxfId="10" priority="76">
      <formula>LEFT($L$2,3)="USD"</formula>
    </cfRule>
  </conditionalFormatting>
  <conditionalFormatting sqref="R5:R50">
    <cfRule type="expression" dxfId="9" priority="57">
      <formula>R5=0</formula>
    </cfRule>
    <cfRule type="expression" dxfId="8" priority="58">
      <formula>OR(AND(B5="Threat",R5&lt;=4),AND(B5="Opportunity",R5&gt;=12))</formula>
    </cfRule>
    <cfRule type="expression" dxfId="7" priority="59">
      <formula>OR(AND(B5="Threat",R5&gt;=5,R5&lt;=11),AND(B5="Opportunity",R5&gt;=5,R5&lt;=11))</formula>
    </cfRule>
    <cfRule type="expression" dxfId="6" priority="60">
      <formula>OR(AND(B5="Threat",R5&gt;=12),AND(B5="Opportunity",R5&lt;=4))</formula>
    </cfRule>
  </conditionalFormatting>
  <conditionalFormatting sqref="S5:S50">
    <cfRule type="expression" dxfId="5" priority="65">
      <formula>LEFT($L$2,3)="NOK"</formula>
    </cfRule>
    <cfRule type="expression" dxfId="4" priority="66">
      <formula>LEFT($L$2,3)="EUR"</formula>
    </cfRule>
    <cfRule type="expression" dxfId="3" priority="67">
      <formula>LEFT($L$2,3)="BRL"</formula>
    </cfRule>
    <cfRule type="expression" dxfId="2" priority="68">
      <formula>LEFT($L$2,3)="AOA"</formula>
    </cfRule>
    <cfRule type="expression" dxfId="1" priority="69">
      <formula>LEFT($L$2,3)="GBP"</formula>
    </cfRule>
    <cfRule type="expression" dxfId="0" priority="70">
      <formula>LEFT($L$2,3)="USD"</formula>
    </cfRule>
  </conditionalFormatting>
  <dataValidations count="9">
    <dataValidation type="list" allowBlank="1" showInputMessage="1" showErrorMessage="1" sqref="N2" xr:uid="{3409D260-7F98-4263-9AFA-124003CD7610}">
      <formula1>"ADTech,IMDS,MP,OPG,SSR,Functions"</formula1>
    </dataValidation>
    <dataValidation type="list" allowBlank="1" showErrorMessage="1" sqref="L2" xr:uid="{4F7D7E26-186B-4E22-A7B1-C60803491ACF}">
      <formula1>"AOA (Kz),BRL (R$),EUR (€),GBP (£),NOK (Kr),USD ($)"</formula1>
    </dataValidation>
    <dataValidation type="list" allowBlank="1" showErrorMessage="1" sqref="K5:K51" xr:uid="{0DEB3CFE-E17E-4690-90E5-4B7FD7931841}">
      <formula1>"Escalate,Mitigate,Transfer,Avoid,Accept"</formula1>
    </dataValidation>
    <dataValidation type="list" allowBlank="1" showErrorMessage="1" sqref="L5:L51" xr:uid="{8E3FC593-FA5C-401F-B0DF-1CA904AF5737}">
      <formula1>"Escalate,Enhance,Exploit,Share,Accept"</formula1>
    </dataValidation>
    <dataValidation type="list" allowBlank="1" showErrorMessage="1" sqref="B5:B51" xr:uid="{4F3814EF-5358-41BB-9E83-66038DCA962B}">
      <formula1>"Threat,Opportunity"</formula1>
    </dataValidation>
    <dataValidation type="list" allowBlank="1" showErrorMessage="1" sqref="I5:I51 G5:G51 P5:Q51" xr:uid="{A9D97B38-4F12-47AA-B961-94ACD8976066}">
      <formula1>"1,2,3,4,5"</formula1>
    </dataValidation>
    <dataValidation type="list" allowBlank="1" showInputMessage="1" showErrorMessage="1" sqref="D5:D51" xr:uid="{DBA300A6-3F67-43F9-B668-699D7810D534}">
      <formula1>"Commercial,Health &amp; Safety,Legal,Operations,Quality,Technical"</formula1>
    </dataValidation>
    <dataValidation type="list" allowBlank="1" showErrorMessage="1" sqref="H4:H51" xr:uid="{9BCDDA52-7B60-4685-8478-7FC135BF2664}">
      <formula1>"Financial,Health and Safety,Market Reputation,Performance,Schedule,Environment"</formula1>
    </dataValidation>
    <dataValidation type="list" allowBlank="1" showInputMessage="1" showErrorMessage="1" sqref="U5:U50" xr:uid="{F5A0B1D3-9C1F-4B4B-9EBC-79A573F60826}">
      <formula1>lstAISubcats</formula1>
    </dataValidation>
  </dataValidations>
  <printOptions horizontalCentered="1"/>
  <pageMargins left="0.23622047244094491" right="0.23622047244094491" top="0.98425196850393704" bottom="0.6692913385826772" header="0.31496062992125984" footer="0.31496062992125984"/>
  <pageSetup paperSize="3" scale="71" fitToHeight="14" orientation="landscape" r:id="rId1"/>
  <headerFooter>
    <oddHeader>&amp;R&amp;G</oddHeader>
    <oddFooter>&amp;L&amp;"Arial,Regular"&amp;10DOC-TEM-18-NUM Rev C&amp;CDate Printed: &amp;D&amp;R&amp;"Arial,Regular"&amp;10Page &amp;P of &amp;N</oddFooter>
  </headerFooter>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DD56-3B28-4033-A383-926DF91967F1}">
  <sheetPr>
    <pageSetUpPr fitToPage="1"/>
  </sheetPr>
  <dimension ref="A1:O32"/>
  <sheetViews>
    <sheetView showGridLines="0" topLeftCell="A6" zoomScale="70" zoomScaleNormal="70" workbookViewId="0"/>
  </sheetViews>
  <sheetFormatPr defaultColWidth="9.140625" defaultRowHeight="12.75" x14ac:dyDescent="0.25"/>
  <cols>
    <col min="1" max="1" width="2.7109375" style="112" customWidth="1"/>
    <col min="2" max="4" width="28.7109375" style="2" customWidth="1"/>
    <col min="5" max="5" width="28.7109375" style="95" customWidth="1"/>
    <col min="6" max="7" width="28.7109375" style="2" customWidth="1"/>
    <col min="8" max="8" width="3.7109375" style="2" customWidth="1"/>
    <col min="9" max="11" width="12.7109375" style="89" customWidth="1"/>
    <col min="12" max="12" width="12.5703125" style="89" customWidth="1"/>
    <col min="13" max="13" width="12.7109375" style="89" customWidth="1"/>
    <col min="14" max="14" width="1.28515625" style="112" customWidth="1"/>
    <col min="15" max="15" width="1" style="2" hidden="1" customWidth="1"/>
    <col min="16" max="16384" width="9.140625" style="2"/>
  </cols>
  <sheetData>
    <row r="1" spans="2:15" x14ac:dyDescent="0.25">
      <c r="B1" s="112"/>
      <c r="C1" s="112"/>
      <c r="D1" s="112"/>
      <c r="E1" s="122"/>
      <c r="F1" s="112"/>
      <c r="G1" s="112"/>
      <c r="H1" s="112"/>
      <c r="I1" s="114"/>
      <c r="J1" s="114"/>
      <c r="K1" s="114"/>
      <c r="L1" s="114"/>
      <c r="M1" s="114"/>
    </row>
    <row r="2" spans="2:15" ht="20.25" x14ac:dyDescent="0.25">
      <c r="B2" s="251" t="s">
        <v>111</v>
      </c>
      <c r="C2" s="252"/>
      <c r="D2" s="252"/>
      <c r="E2" s="252"/>
      <c r="F2" s="252"/>
      <c r="G2" s="252"/>
      <c r="H2" s="252"/>
      <c r="I2" s="252"/>
      <c r="J2" s="252"/>
      <c r="K2" s="252"/>
      <c r="L2" s="252"/>
      <c r="M2" s="253"/>
    </row>
    <row r="3" spans="2:15" ht="18" customHeight="1" x14ac:dyDescent="0.25">
      <c r="B3" s="254" t="s">
        <v>129</v>
      </c>
      <c r="C3" s="255"/>
      <c r="D3" s="255"/>
      <c r="E3" s="255"/>
      <c r="F3" s="255"/>
      <c r="G3" s="255"/>
      <c r="H3" s="256"/>
      <c r="I3" s="259" t="s">
        <v>52</v>
      </c>
      <c r="J3" s="260"/>
      <c r="K3" s="260"/>
      <c r="L3" s="260"/>
      <c r="M3" s="261"/>
    </row>
    <row r="4" spans="2:15" ht="12.75" customHeight="1" x14ac:dyDescent="0.25">
      <c r="B4" s="257"/>
      <c r="C4" s="258"/>
      <c r="D4" s="258"/>
      <c r="E4" s="258"/>
      <c r="F4" s="258"/>
      <c r="G4" s="258"/>
      <c r="H4" s="258"/>
      <c r="I4" s="262" t="s">
        <v>130</v>
      </c>
      <c r="J4" s="264" t="s">
        <v>112</v>
      </c>
      <c r="K4" s="264" t="s">
        <v>131</v>
      </c>
      <c r="L4" s="264" t="s">
        <v>132</v>
      </c>
      <c r="M4" s="262" t="s">
        <v>133</v>
      </c>
    </row>
    <row r="5" spans="2:15" x14ac:dyDescent="0.25">
      <c r="B5" s="257"/>
      <c r="C5" s="258"/>
      <c r="D5" s="258"/>
      <c r="E5" s="258"/>
      <c r="F5" s="258"/>
      <c r="G5" s="258"/>
      <c r="H5" s="258"/>
      <c r="I5" s="263"/>
      <c r="J5" s="265"/>
      <c r="K5" s="265"/>
      <c r="L5" s="265"/>
      <c r="M5" s="263"/>
    </row>
    <row r="6" spans="2:15" x14ac:dyDescent="0.25">
      <c r="B6" s="94" t="s">
        <v>116</v>
      </c>
      <c r="C6" s="93" t="s">
        <v>134</v>
      </c>
      <c r="D6" s="91" t="s">
        <v>113</v>
      </c>
      <c r="E6" s="91" t="s">
        <v>114</v>
      </c>
      <c r="F6" s="91" t="s">
        <v>115</v>
      </c>
      <c r="G6" s="93" t="s">
        <v>117</v>
      </c>
      <c r="H6" s="92"/>
      <c r="I6" s="90">
        <v>1</v>
      </c>
      <c r="J6" s="90">
        <v>2</v>
      </c>
      <c r="K6" s="90">
        <v>3</v>
      </c>
      <c r="L6" s="90">
        <v>4</v>
      </c>
      <c r="M6" s="90">
        <v>5</v>
      </c>
      <c r="N6" s="266"/>
      <c r="O6" s="266"/>
    </row>
    <row r="7" spans="2:15" ht="99" customHeight="1" x14ac:dyDescent="0.25">
      <c r="B7" s="108" t="s">
        <v>135</v>
      </c>
      <c r="C7" s="108" t="s">
        <v>136</v>
      </c>
      <c r="D7" s="107" t="s">
        <v>118</v>
      </c>
      <c r="E7" s="107" t="s">
        <v>137</v>
      </c>
      <c r="F7" s="108" t="s">
        <v>138</v>
      </c>
      <c r="G7" s="107" t="s">
        <v>139</v>
      </c>
      <c r="H7" s="91">
        <v>5</v>
      </c>
      <c r="I7" s="134" t="s">
        <v>70</v>
      </c>
      <c r="J7" s="134" t="s">
        <v>70</v>
      </c>
      <c r="K7" s="98" t="s">
        <v>71</v>
      </c>
      <c r="L7" s="98" t="s">
        <v>71</v>
      </c>
      <c r="M7" s="98" t="s">
        <v>71</v>
      </c>
      <c r="N7" s="250"/>
      <c r="O7" s="250"/>
    </row>
    <row r="8" spans="2:15" ht="99" customHeight="1" x14ac:dyDescent="0.25">
      <c r="B8" s="108" t="s">
        <v>140</v>
      </c>
      <c r="C8" s="108" t="s">
        <v>141</v>
      </c>
      <c r="D8" s="107" t="s">
        <v>142</v>
      </c>
      <c r="E8" s="107" t="s">
        <v>143</v>
      </c>
      <c r="F8" s="107" t="s">
        <v>144</v>
      </c>
      <c r="G8" s="107" t="s">
        <v>119</v>
      </c>
      <c r="H8" s="91">
        <v>4</v>
      </c>
      <c r="I8" s="99" t="s">
        <v>59</v>
      </c>
      <c r="J8" s="97" t="s">
        <v>70</v>
      </c>
      <c r="K8" s="98" t="s">
        <v>71</v>
      </c>
      <c r="L8" s="98" t="s">
        <v>71</v>
      </c>
      <c r="M8" s="98" t="s">
        <v>71</v>
      </c>
      <c r="N8" s="250"/>
      <c r="O8" s="250"/>
    </row>
    <row r="9" spans="2:15" ht="99" customHeight="1" x14ac:dyDescent="0.25">
      <c r="B9" s="108" t="s">
        <v>145</v>
      </c>
      <c r="C9" s="108" t="s">
        <v>146</v>
      </c>
      <c r="D9" s="107" t="s">
        <v>147</v>
      </c>
      <c r="E9" s="107" t="s">
        <v>148</v>
      </c>
      <c r="F9" s="107" t="s">
        <v>120</v>
      </c>
      <c r="G9" s="107" t="s">
        <v>121</v>
      </c>
      <c r="H9" s="96">
        <v>3</v>
      </c>
      <c r="I9" s="99" t="s">
        <v>59</v>
      </c>
      <c r="J9" s="97" t="s">
        <v>70</v>
      </c>
      <c r="K9" s="97" t="s">
        <v>70</v>
      </c>
      <c r="L9" s="98" t="s">
        <v>71</v>
      </c>
      <c r="M9" s="98" t="s">
        <v>71</v>
      </c>
      <c r="N9" s="250"/>
      <c r="O9" s="250"/>
    </row>
    <row r="10" spans="2:15" ht="99" customHeight="1" x14ac:dyDescent="0.25">
      <c r="B10" s="108" t="s">
        <v>149</v>
      </c>
      <c r="C10" s="108" t="s">
        <v>150</v>
      </c>
      <c r="D10" s="107" t="s">
        <v>151</v>
      </c>
      <c r="E10" s="107" t="s">
        <v>152</v>
      </c>
      <c r="F10" s="107" t="s">
        <v>122</v>
      </c>
      <c r="G10" s="107" t="s">
        <v>123</v>
      </c>
      <c r="H10" s="96">
        <v>2</v>
      </c>
      <c r="I10" s="99" t="s">
        <v>59</v>
      </c>
      <c r="J10" s="99" t="s">
        <v>59</v>
      </c>
      <c r="K10" s="97" t="s">
        <v>70</v>
      </c>
      <c r="L10" s="97" t="s">
        <v>70</v>
      </c>
      <c r="M10" s="97" t="s">
        <v>70</v>
      </c>
      <c r="N10" s="250"/>
      <c r="O10" s="250"/>
    </row>
    <row r="11" spans="2:15" ht="99" customHeight="1" x14ac:dyDescent="0.25">
      <c r="B11" s="108" t="s">
        <v>153</v>
      </c>
      <c r="C11" s="108" t="s">
        <v>154</v>
      </c>
      <c r="D11" s="107" t="s">
        <v>124</v>
      </c>
      <c r="E11" s="117" t="s">
        <v>155</v>
      </c>
      <c r="F11" s="107" t="s">
        <v>125</v>
      </c>
      <c r="G11" s="107" t="s">
        <v>126</v>
      </c>
      <c r="H11" s="100">
        <v>1</v>
      </c>
      <c r="I11" s="99" t="s">
        <v>59</v>
      </c>
      <c r="J11" s="99" t="s">
        <v>59</v>
      </c>
      <c r="K11" s="99" t="s">
        <v>59</v>
      </c>
      <c r="L11" s="99" t="s">
        <v>59</v>
      </c>
      <c r="M11" s="97" t="s">
        <v>70</v>
      </c>
      <c r="N11" s="250"/>
      <c r="O11" s="250"/>
    </row>
    <row r="12" spans="2:15" x14ac:dyDescent="0.25">
      <c r="B12" s="112"/>
      <c r="C12" s="112"/>
      <c r="D12" s="112"/>
      <c r="E12" s="122"/>
      <c r="F12" s="112"/>
      <c r="G12" s="112"/>
      <c r="H12" s="112"/>
      <c r="I12" s="114"/>
      <c r="J12" s="114"/>
      <c r="K12" s="114"/>
      <c r="L12" s="114"/>
      <c r="M12" s="114"/>
    </row>
    <row r="13" spans="2:15" ht="35.1" customHeight="1" x14ac:dyDescent="0.25">
      <c r="B13" s="270" t="s">
        <v>156</v>
      </c>
      <c r="C13" s="271"/>
      <c r="D13" s="271"/>
      <c r="E13" s="271"/>
      <c r="F13" s="271"/>
      <c r="G13" s="271"/>
      <c r="H13" s="271"/>
      <c r="I13" s="114"/>
      <c r="J13" s="268"/>
      <c r="K13" s="268"/>
      <c r="L13" s="268"/>
      <c r="M13" s="114"/>
    </row>
    <row r="14" spans="2:15" ht="12.75" customHeight="1" x14ac:dyDescent="0.25">
      <c r="B14" s="91" t="s">
        <v>157</v>
      </c>
      <c r="C14" s="269" t="s">
        <v>158</v>
      </c>
      <c r="D14" s="269"/>
      <c r="E14" s="269"/>
      <c r="F14" s="269"/>
      <c r="G14" s="269"/>
      <c r="H14" s="269"/>
      <c r="I14" s="114"/>
      <c r="J14" s="114"/>
      <c r="K14" s="114"/>
      <c r="L14" s="114"/>
      <c r="M14" s="114"/>
    </row>
    <row r="15" spans="2:15" x14ac:dyDescent="0.25">
      <c r="B15" s="91" t="s">
        <v>159</v>
      </c>
      <c r="C15" s="269" t="s">
        <v>160</v>
      </c>
      <c r="D15" s="269"/>
      <c r="E15" s="269"/>
      <c r="F15" s="269"/>
      <c r="G15" s="269"/>
      <c r="H15" s="269"/>
      <c r="I15" s="114"/>
      <c r="J15" s="114"/>
      <c r="K15" s="114"/>
      <c r="L15" s="114"/>
      <c r="M15" s="114"/>
    </row>
    <row r="16" spans="2:15" ht="12.75" customHeight="1" x14ac:dyDescent="0.25">
      <c r="B16" s="91" t="s">
        <v>161</v>
      </c>
      <c r="C16" s="269" t="s">
        <v>162</v>
      </c>
      <c r="D16" s="269"/>
      <c r="E16" s="269"/>
      <c r="F16" s="269"/>
      <c r="G16" s="269"/>
      <c r="H16" s="269"/>
      <c r="I16" s="114"/>
      <c r="J16" s="114"/>
      <c r="K16" s="114"/>
      <c r="L16" s="114"/>
      <c r="M16" s="114"/>
    </row>
    <row r="17" spans="2:13" x14ac:dyDescent="0.25">
      <c r="B17" s="91" t="s">
        <v>163</v>
      </c>
      <c r="C17" s="269" t="s">
        <v>164</v>
      </c>
      <c r="D17" s="269"/>
      <c r="E17" s="269"/>
      <c r="F17" s="269"/>
      <c r="G17" s="269"/>
      <c r="H17" s="269"/>
      <c r="I17" s="114"/>
      <c r="J17" s="110"/>
      <c r="K17" s="110"/>
      <c r="L17" s="110"/>
      <c r="M17" s="114"/>
    </row>
    <row r="18" spans="2:13" x14ac:dyDescent="0.25">
      <c r="B18" s="91" t="s">
        <v>165</v>
      </c>
      <c r="C18" s="269" t="s">
        <v>166</v>
      </c>
      <c r="D18" s="269"/>
      <c r="E18" s="269"/>
      <c r="F18" s="269"/>
      <c r="G18" s="269"/>
      <c r="H18" s="269"/>
      <c r="I18" s="114"/>
      <c r="J18" s="110"/>
      <c r="K18" s="110"/>
      <c r="L18" s="110"/>
      <c r="M18" s="114"/>
    </row>
    <row r="19" spans="2:13" x14ac:dyDescent="0.25">
      <c r="B19" s="112"/>
      <c r="C19" s="112"/>
      <c r="D19" s="112"/>
      <c r="E19" s="122"/>
      <c r="F19" s="112"/>
      <c r="G19" s="112"/>
      <c r="H19" s="112"/>
      <c r="I19" s="114"/>
      <c r="J19" s="110"/>
      <c r="K19" s="110"/>
      <c r="L19" s="110"/>
      <c r="M19" s="114"/>
    </row>
    <row r="20" spans="2:13" ht="15.75" x14ac:dyDescent="0.25">
      <c r="B20" s="270" t="s">
        <v>167</v>
      </c>
      <c r="C20" s="271"/>
      <c r="D20" s="271"/>
      <c r="E20" s="271"/>
      <c r="F20" s="271"/>
      <c r="G20" s="271"/>
      <c r="H20" s="271"/>
      <c r="I20" s="114"/>
      <c r="J20" s="110"/>
      <c r="K20" s="110"/>
      <c r="L20" s="110"/>
      <c r="M20" s="114"/>
    </row>
    <row r="21" spans="2:13" ht="25.5" x14ac:dyDescent="0.25">
      <c r="B21" s="136" t="s">
        <v>168</v>
      </c>
      <c r="C21" s="272" t="s">
        <v>127</v>
      </c>
      <c r="D21" s="272"/>
      <c r="E21" s="272"/>
      <c r="F21" s="272"/>
      <c r="G21" s="272"/>
      <c r="H21" s="272"/>
      <c r="I21" s="112"/>
      <c r="J21" s="110"/>
      <c r="K21" s="110"/>
      <c r="L21" s="110"/>
      <c r="M21" s="114"/>
    </row>
    <row r="22" spans="2:13" ht="27" x14ac:dyDescent="0.25">
      <c r="B22" s="132" t="s">
        <v>169</v>
      </c>
      <c r="C22" s="272" t="s">
        <v>128</v>
      </c>
      <c r="D22" s="272"/>
      <c r="E22" s="272"/>
      <c r="F22" s="272"/>
      <c r="G22" s="272"/>
      <c r="H22" s="272"/>
      <c r="I22" s="112"/>
      <c r="J22" s="110"/>
      <c r="K22" s="110"/>
      <c r="L22" s="110"/>
      <c r="M22" s="114"/>
    </row>
    <row r="23" spans="2:13" ht="25.5" x14ac:dyDescent="0.25">
      <c r="B23" s="109" t="s">
        <v>170</v>
      </c>
      <c r="C23" s="272" t="s">
        <v>171</v>
      </c>
      <c r="D23" s="272"/>
      <c r="E23" s="272"/>
      <c r="F23" s="272"/>
      <c r="G23" s="272"/>
      <c r="H23" s="272"/>
      <c r="I23" s="112"/>
      <c r="J23" s="110"/>
      <c r="K23" s="110"/>
      <c r="L23" s="110"/>
      <c r="M23" s="121"/>
    </row>
    <row r="24" spans="2:13" x14ac:dyDescent="0.25">
      <c r="B24" s="112"/>
      <c r="C24" s="112"/>
      <c r="D24" s="112"/>
      <c r="E24" s="122"/>
      <c r="F24" s="112"/>
      <c r="G24" s="112"/>
      <c r="H24" s="112"/>
      <c r="I24" s="114"/>
      <c r="J24" s="114"/>
      <c r="K24" s="114"/>
      <c r="L24" s="114"/>
      <c r="M24" s="114"/>
    </row>
    <row r="25" spans="2:13" s="112" customFormat="1" ht="27" customHeight="1" x14ac:dyDescent="0.25">
      <c r="B25" s="267" t="s">
        <v>172</v>
      </c>
      <c r="C25" s="267"/>
      <c r="D25" s="267"/>
      <c r="E25" s="267"/>
      <c r="F25" s="267"/>
      <c r="G25" s="267"/>
      <c r="H25" s="267"/>
      <c r="I25" s="113"/>
      <c r="J25" s="113"/>
      <c r="K25" s="114"/>
      <c r="L25" s="114"/>
      <c r="M25" s="114"/>
    </row>
    <row r="26" spans="2:13" x14ac:dyDescent="0.25">
      <c r="B26" s="112"/>
      <c r="C26" s="112"/>
      <c r="D26" s="112"/>
      <c r="E26" s="122"/>
      <c r="F26" s="112"/>
      <c r="G26" s="112"/>
      <c r="H26" s="112"/>
      <c r="I26" s="114"/>
      <c r="J26" s="114"/>
      <c r="K26" s="114"/>
      <c r="L26" s="114"/>
      <c r="M26" s="114"/>
    </row>
    <row r="27" spans="2:13" ht="15" x14ac:dyDescent="0.25">
      <c r="B27" s="112"/>
      <c r="C27" s="112"/>
      <c r="D27" s="123"/>
      <c r="E27" s="111"/>
      <c r="F27" s="124"/>
      <c r="G27" s="112"/>
      <c r="H27" s="112"/>
      <c r="I27" s="114"/>
      <c r="J27" s="114"/>
      <c r="K27" s="114"/>
      <c r="L27" s="114"/>
      <c r="M27" s="114"/>
    </row>
    <row r="28" spans="2:13" x14ac:dyDescent="0.25">
      <c r="B28" s="112"/>
      <c r="C28" s="112"/>
      <c r="D28" s="112"/>
      <c r="E28" s="122"/>
      <c r="F28" s="112"/>
      <c r="G28" s="112"/>
      <c r="H28" s="112"/>
      <c r="I28" s="114"/>
      <c r="J28" s="114"/>
      <c r="K28" s="114"/>
      <c r="L28" s="114"/>
      <c r="M28" s="114"/>
    </row>
    <row r="29" spans="2:13" x14ac:dyDescent="0.25">
      <c r="B29" s="112"/>
      <c r="C29" s="112"/>
      <c r="D29" s="112"/>
      <c r="E29" s="122"/>
      <c r="F29" s="112"/>
      <c r="G29" s="112"/>
      <c r="H29" s="112"/>
      <c r="I29" s="114"/>
      <c r="J29" s="114"/>
      <c r="K29" s="114"/>
      <c r="L29" s="114"/>
      <c r="M29" s="114"/>
    </row>
    <row r="30" spans="2:13" x14ac:dyDescent="0.25">
      <c r="B30" s="112"/>
      <c r="C30" s="112"/>
      <c r="D30" s="112"/>
      <c r="E30" s="122"/>
      <c r="F30" s="112"/>
      <c r="G30" s="112"/>
      <c r="H30" s="112"/>
      <c r="I30" s="114"/>
      <c r="J30" s="114"/>
      <c r="K30" s="114"/>
      <c r="L30" s="114"/>
      <c r="M30" s="114"/>
    </row>
    <row r="31" spans="2:13" x14ac:dyDescent="0.25">
      <c r="B31" s="112"/>
      <c r="C31" s="112"/>
      <c r="D31" s="112"/>
      <c r="E31" s="122"/>
      <c r="F31" s="112"/>
      <c r="G31" s="112"/>
      <c r="H31" s="112"/>
      <c r="I31" s="114"/>
      <c r="J31" s="114"/>
      <c r="K31" s="114"/>
      <c r="L31" s="114"/>
      <c r="M31" s="114"/>
    </row>
    <row r="32" spans="2:13" ht="23.25" x14ac:dyDescent="0.25">
      <c r="B32" s="102"/>
    </row>
  </sheetData>
  <mergeCells count="26">
    <mergeCell ref="B25:H25"/>
    <mergeCell ref="J13:L13"/>
    <mergeCell ref="C14:H14"/>
    <mergeCell ref="C15:H15"/>
    <mergeCell ref="C16:H16"/>
    <mergeCell ref="C17:H17"/>
    <mergeCell ref="C18:H18"/>
    <mergeCell ref="B20:H20"/>
    <mergeCell ref="C21:H21"/>
    <mergeCell ref="C22:H22"/>
    <mergeCell ref="C23:H23"/>
    <mergeCell ref="B13:H13"/>
    <mergeCell ref="N11:O11"/>
    <mergeCell ref="B2:M2"/>
    <mergeCell ref="B3:H5"/>
    <mergeCell ref="I3:M3"/>
    <mergeCell ref="I4:I5"/>
    <mergeCell ref="J4:J5"/>
    <mergeCell ref="K4:K5"/>
    <mergeCell ref="L4:L5"/>
    <mergeCell ref="M4:M5"/>
    <mergeCell ref="N6:O6"/>
    <mergeCell ref="N7:O7"/>
    <mergeCell ref="N8:O8"/>
    <mergeCell ref="N9:O9"/>
    <mergeCell ref="N10:O10"/>
  </mergeCells>
  <printOptions horizontalCentered="1"/>
  <pageMargins left="0.7" right="0.7" top="0.86975000000000002" bottom="0.75" header="0.3" footer="0.3"/>
  <pageSetup paperSize="3" scale="80" orientation="landscape" horizontalDpi="1200" verticalDpi="1200" r:id="rId1"/>
  <headerFooter>
    <oddHeader>&amp;R&amp;G</oddHeader>
    <oddFooter>&amp;L&amp;"Arial,Regular"&amp;10DOC-TEM-18-NUM Rev C&amp;C&amp;"Arial,Regular"&amp;10Date Printed: &amp;D&amp;R&amp;"Arial,Regular"&amp;10&amp;A: Page &amp;P of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6B24-B0DD-4F6F-80D0-F080031E3837}">
  <sheetPr>
    <pageSetUpPr fitToPage="1"/>
  </sheetPr>
  <dimension ref="B2:K23"/>
  <sheetViews>
    <sheetView showGridLines="0" zoomScale="70" zoomScaleNormal="70" workbookViewId="0">
      <selection activeCell="F34" sqref="F34"/>
    </sheetView>
  </sheetViews>
  <sheetFormatPr defaultColWidth="9.140625" defaultRowHeight="12.75" x14ac:dyDescent="0.25"/>
  <cols>
    <col min="1" max="1" width="2.7109375" style="2" customWidth="1"/>
    <col min="2" max="3" width="43" style="2" customWidth="1"/>
    <col min="4" max="4" width="3.7109375" style="2" customWidth="1"/>
    <col min="5" max="5" width="12.140625" style="89" customWidth="1"/>
    <col min="6" max="9" width="12.7109375" style="89" customWidth="1"/>
    <col min="10" max="10" width="2.7109375" style="2" customWidth="1"/>
    <col min="11" max="16384" width="9.140625" style="2"/>
  </cols>
  <sheetData>
    <row r="2" spans="2:11" ht="24.95" customHeight="1" x14ac:dyDescent="0.25">
      <c r="B2" s="251" t="s">
        <v>173</v>
      </c>
      <c r="C2" s="252"/>
      <c r="D2" s="252"/>
      <c r="E2" s="252"/>
      <c r="F2" s="252"/>
      <c r="G2" s="252"/>
      <c r="H2" s="252"/>
      <c r="I2" s="253"/>
    </row>
    <row r="3" spans="2:11" ht="18" customHeight="1" x14ac:dyDescent="0.25">
      <c r="B3" s="278" t="s">
        <v>174</v>
      </c>
      <c r="C3" s="255"/>
      <c r="D3" s="256"/>
      <c r="E3" s="259" t="s">
        <v>175</v>
      </c>
      <c r="F3" s="260"/>
      <c r="G3" s="260"/>
      <c r="H3" s="260"/>
      <c r="I3" s="261"/>
    </row>
    <row r="4" spans="2:11" ht="18" customHeight="1" x14ac:dyDescent="0.25">
      <c r="B4" s="257"/>
      <c r="C4" s="258"/>
      <c r="D4" s="279"/>
      <c r="E4" s="262" t="s">
        <v>130</v>
      </c>
      <c r="F4" s="264" t="s">
        <v>112</v>
      </c>
      <c r="G4" s="264" t="s">
        <v>131</v>
      </c>
      <c r="H4" s="264" t="s">
        <v>176</v>
      </c>
      <c r="I4" s="262" t="s">
        <v>133</v>
      </c>
    </row>
    <row r="5" spans="2:11" ht="18" customHeight="1" x14ac:dyDescent="0.25">
      <c r="B5" s="257"/>
      <c r="C5" s="258"/>
      <c r="D5" s="279"/>
      <c r="E5" s="263"/>
      <c r="F5" s="265"/>
      <c r="G5" s="265"/>
      <c r="H5" s="265"/>
      <c r="I5" s="263"/>
    </row>
    <row r="6" spans="2:11" ht="15" customHeight="1" x14ac:dyDescent="0.25">
      <c r="B6" s="91" t="s">
        <v>113</v>
      </c>
      <c r="C6" s="91" t="s">
        <v>114</v>
      </c>
      <c r="D6" s="92"/>
      <c r="E6" s="90">
        <v>1</v>
      </c>
      <c r="F6" s="90">
        <v>2</v>
      </c>
      <c r="G6" s="90">
        <v>3</v>
      </c>
      <c r="H6" s="90">
        <v>4</v>
      </c>
      <c r="I6" s="130">
        <v>5</v>
      </c>
      <c r="J6" s="266"/>
      <c r="K6" s="266"/>
    </row>
    <row r="7" spans="2:11" ht="54.95" customHeight="1" x14ac:dyDescent="0.25">
      <c r="B7" s="107" t="s">
        <v>177</v>
      </c>
      <c r="C7" s="107" t="s">
        <v>178</v>
      </c>
      <c r="D7" s="91">
        <v>5</v>
      </c>
      <c r="E7" s="97" t="s">
        <v>70</v>
      </c>
      <c r="F7" s="97" t="s">
        <v>70</v>
      </c>
      <c r="G7" s="99" t="s">
        <v>71</v>
      </c>
      <c r="H7" s="99" t="s">
        <v>71</v>
      </c>
      <c r="I7" s="99" t="s">
        <v>71</v>
      </c>
      <c r="J7" s="250"/>
      <c r="K7" s="250"/>
    </row>
    <row r="8" spans="2:11" ht="54.95" customHeight="1" x14ac:dyDescent="0.25">
      <c r="B8" s="107" t="s">
        <v>179</v>
      </c>
      <c r="C8" s="107" t="s">
        <v>180</v>
      </c>
      <c r="D8" s="91">
        <v>4</v>
      </c>
      <c r="E8" s="98" t="s">
        <v>59</v>
      </c>
      <c r="F8" s="97" t="s">
        <v>70</v>
      </c>
      <c r="G8" s="99" t="s">
        <v>71</v>
      </c>
      <c r="H8" s="99" t="s">
        <v>71</v>
      </c>
      <c r="I8" s="99" t="s">
        <v>71</v>
      </c>
      <c r="J8" s="250"/>
      <c r="K8" s="250"/>
    </row>
    <row r="9" spans="2:11" ht="54.95" customHeight="1" x14ac:dyDescent="0.25">
      <c r="B9" s="107" t="s">
        <v>181</v>
      </c>
      <c r="C9" s="107" t="s">
        <v>182</v>
      </c>
      <c r="D9" s="96">
        <v>3</v>
      </c>
      <c r="E9" s="101" t="s">
        <v>59</v>
      </c>
      <c r="F9" s="97" t="s">
        <v>70</v>
      </c>
      <c r="G9" s="97" t="s">
        <v>70</v>
      </c>
      <c r="H9" s="99" t="s">
        <v>71</v>
      </c>
      <c r="I9" s="99" t="s">
        <v>71</v>
      </c>
      <c r="J9" s="250"/>
      <c r="K9" s="250"/>
    </row>
    <row r="10" spans="2:11" ht="54.95" customHeight="1" x14ac:dyDescent="0.25">
      <c r="B10" s="107" t="s">
        <v>183</v>
      </c>
      <c r="C10" s="107" t="s">
        <v>184</v>
      </c>
      <c r="D10" s="96">
        <v>2</v>
      </c>
      <c r="E10" s="101" t="s">
        <v>59</v>
      </c>
      <c r="F10" s="101" t="s">
        <v>59</v>
      </c>
      <c r="G10" s="97" t="s">
        <v>70</v>
      </c>
      <c r="H10" s="97" t="s">
        <v>70</v>
      </c>
      <c r="I10" s="97" t="s">
        <v>70</v>
      </c>
      <c r="J10" s="250"/>
      <c r="K10" s="250"/>
    </row>
    <row r="11" spans="2:11" ht="54.95" customHeight="1" x14ac:dyDescent="0.25">
      <c r="B11" s="107" t="s">
        <v>185</v>
      </c>
      <c r="C11" s="107" t="s">
        <v>186</v>
      </c>
      <c r="D11" s="100">
        <v>1</v>
      </c>
      <c r="E11" s="101" t="s">
        <v>59</v>
      </c>
      <c r="F11" s="101" t="s">
        <v>59</v>
      </c>
      <c r="G11" s="101" t="s">
        <v>59</v>
      </c>
      <c r="H11" s="98" t="s">
        <v>59</v>
      </c>
      <c r="I11" s="97" t="s">
        <v>70</v>
      </c>
      <c r="J11" s="250"/>
      <c r="K11" s="250"/>
    </row>
    <row r="13" spans="2:11" ht="45" customHeight="1" x14ac:dyDescent="0.25">
      <c r="B13" s="271" t="s">
        <v>187</v>
      </c>
      <c r="C13" s="271"/>
      <c r="D13" s="271"/>
      <c r="E13" s="271"/>
      <c r="F13" s="271"/>
      <c r="G13" s="271"/>
      <c r="H13" s="271"/>
      <c r="I13" s="271"/>
    </row>
    <row r="14" spans="2:11" ht="30" customHeight="1" x14ac:dyDescent="0.25">
      <c r="B14" s="129" t="s">
        <v>165</v>
      </c>
      <c r="C14" s="273" t="s">
        <v>188</v>
      </c>
      <c r="D14" s="273"/>
      <c r="E14" s="273"/>
      <c r="F14" s="273"/>
      <c r="G14" s="273"/>
      <c r="H14" s="273"/>
      <c r="I14" s="273"/>
    </row>
    <row r="15" spans="2:11" ht="30" customHeight="1" x14ac:dyDescent="0.25">
      <c r="B15" s="91" t="s">
        <v>163</v>
      </c>
      <c r="C15" s="274" t="s">
        <v>189</v>
      </c>
      <c r="D15" s="275"/>
      <c r="E15" s="275"/>
      <c r="F15" s="275"/>
      <c r="G15" s="275"/>
      <c r="H15" s="275"/>
      <c r="I15" s="276"/>
    </row>
    <row r="16" spans="2:11" ht="30" customHeight="1" x14ac:dyDescent="0.25">
      <c r="B16" s="91" t="s">
        <v>161</v>
      </c>
      <c r="C16" s="274" t="s">
        <v>190</v>
      </c>
      <c r="D16" s="275"/>
      <c r="E16" s="275"/>
      <c r="F16" s="275"/>
      <c r="G16" s="275"/>
      <c r="H16" s="275"/>
      <c r="I16" s="276"/>
    </row>
    <row r="17" spans="2:9" ht="30" customHeight="1" x14ac:dyDescent="0.25">
      <c r="B17" s="91" t="s">
        <v>159</v>
      </c>
      <c r="C17" s="274" t="s">
        <v>191</v>
      </c>
      <c r="D17" s="275"/>
      <c r="E17" s="275"/>
      <c r="F17" s="275"/>
      <c r="G17" s="275"/>
      <c r="H17" s="275"/>
      <c r="I17" s="276"/>
    </row>
    <row r="18" spans="2:9" ht="30" customHeight="1" x14ac:dyDescent="0.25">
      <c r="B18" s="91" t="s">
        <v>192</v>
      </c>
      <c r="C18" s="274" t="s">
        <v>193</v>
      </c>
      <c r="D18" s="275"/>
      <c r="E18" s="275"/>
      <c r="F18" s="275"/>
      <c r="G18" s="275"/>
      <c r="H18" s="275"/>
      <c r="I18" s="276"/>
    </row>
    <row r="20" spans="2:9" ht="30" customHeight="1" x14ac:dyDescent="0.25">
      <c r="B20" s="270" t="s">
        <v>194</v>
      </c>
      <c r="C20" s="270"/>
      <c r="D20" s="270"/>
      <c r="E20" s="270"/>
      <c r="F20" s="270"/>
      <c r="G20" s="270"/>
      <c r="H20" s="270"/>
      <c r="I20" s="270"/>
    </row>
    <row r="21" spans="2:9" ht="30" customHeight="1" x14ac:dyDescent="0.25">
      <c r="B21" s="131" t="s">
        <v>168</v>
      </c>
      <c r="C21" s="277" t="s">
        <v>195</v>
      </c>
      <c r="D21" s="277"/>
      <c r="E21" s="277"/>
      <c r="F21" s="277"/>
      <c r="G21" s="277"/>
      <c r="H21" s="277"/>
      <c r="I21" s="277"/>
    </row>
    <row r="22" spans="2:9" ht="30" customHeight="1" x14ac:dyDescent="0.25">
      <c r="B22" s="132" t="s">
        <v>196</v>
      </c>
      <c r="C22" s="272" t="s">
        <v>197</v>
      </c>
      <c r="D22" s="272"/>
      <c r="E22" s="272"/>
      <c r="F22" s="272"/>
      <c r="G22" s="272"/>
      <c r="H22" s="272"/>
      <c r="I22" s="272"/>
    </row>
    <row r="23" spans="2:9" ht="30" customHeight="1" x14ac:dyDescent="0.25">
      <c r="B23" s="133" t="s">
        <v>170</v>
      </c>
      <c r="C23" s="272" t="s">
        <v>198</v>
      </c>
      <c r="D23" s="272"/>
      <c r="E23" s="272"/>
      <c r="F23" s="272"/>
      <c r="G23" s="272"/>
      <c r="H23" s="272"/>
      <c r="I23" s="272"/>
    </row>
  </sheetData>
  <mergeCells count="24">
    <mergeCell ref="J9:K9"/>
    <mergeCell ref="J10:K10"/>
    <mergeCell ref="J11:K11"/>
    <mergeCell ref="B2:I2"/>
    <mergeCell ref="B3:D5"/>
    <mergeCell ref="E3:I3"/>
    <mergeCell ref="J6:K6"/>
    <mergeCell ref="J7:K7"/>
    <mergeCell ref="J8:K8"/>
    <mergeCell ref="I4:I5"/>
    <mergeCell ref="E4:E5"/>
    <mergeCell ref="F4:F5"/>
    <mergeCell ref="G4:G5"/>
    <mergeCell ref="H4:H5"/>
    <mergeCell ref="C23:I23"/>
    <mergeCell ref="B20:I20"/>
    <mergeCell ref="B13:I13"/>
    <mergeCell ref="C14:I14"/>
    <mergeCell ref="C15:I15"/>
    <mergeCell ref="C16:I16"/>
    <mergeCell ref="C18:I18"/>
    <mergeCell ref="C17:I17"/>
    <mergeCell ref="C21:I21"/>
    <mergeCell ref="C22:I22"/>
  </mergeCells>
  <printOptions horizontalCentered="1"/>
  <pageMargins left="0.25" right="0.25" top="0.75" bottom="0.75" header="0.3" footer="0.3"/>
  <pageSetup scale="66" orientation="portrait" horizontalDpi="300" verticalDpi="300" r:id="rId1"/>
  <headerFooter>
    <oddHeader>&amp;R&amp;G</oddHeader>
    <oddFooter>&amp;LDOC-TEM-18-NUM Rev C&amp;CDate Printed: &amp;D&amp;R&amp;A: Page &amp;P of &amp;N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306D-ABBE-4B33-AFE1-0E82078C07D2}">
  <dimension ref="A1:I30"/>
  <sheetViews>
    <sheetView zoomScale="85" zoomScaleNormal="85" workbookViewId="0">
      <selection activeCell="C9" sqref="C9:G15"/>
    </sheetView>
  </sheetViews>
  <sheetFormatPr defaultColWidth="9.140625" defaultRowHeight="12" x14ac:dyDescent="0.25"/>
  <cols>
    <col min="1" max="1" width="9.140625" style="77"/>
    <col min="2" max="2" width="9.140625" style="81"/>
    <col min="3" max="3" width="9.140625" style="77" customWidth="1"/>
    <col min="4" max="4" width="31.5703125" style="77" customWidth="1"/>
    <col min="5" max="5" width="9.140625" style="77"/>
    <col min="6" max="6" width="41" style="77" customWidth="1"/>
    <col min="7" max="7" width="64.85546875" style="77" customWidth="1"/>
    <col min="8" max="8" width="14.5703125" style="77" customWidth="1"/>
    <col min="9" max="9" width="29" style="77" customWidth="1"/>
    <col min="10" max="16384" width="9.140625" style="77"/>
  </cols>
  <sheetData>
    <row r="1" spans="1:9" ht="47.25" customHeight="1" x14ac:dyDescent="0.25">
      <c r="A1" s="281" t="s">
        <v>199</v>
      </c>
      <c r="B1" s="281"/>
      <c r="C1" s="281"/>
      <c r="D1" s="281"/>
      <c r="E1" s="281"/>
      <c r="F1" s="281"/>
    </row>
    <row r="2" spans="1:9" ht="12.75" x14ac:dyDescent="0.25">
      <c r="A2" s="282" t="s">
        <v>200</v>
      </c>
      <c r="B2" s="282"/>
      <c r="C2" s="282"/>
      <c r="D2" s="282"/>
      <c r="E2" s="282"/>
    </row>
    <row r="4" spans="1:9" ht="30.75" customHeight="1" x14ac:dyDescent="0.25">
      <c r="A4" s="283" t="s">
        <v>201</v>
      </c>
      <c r="B4" s="283"/>
      <c r="C4" s="283"/>
      <c r="D4" s="283"/>
      <c r="E4" s="283"/>
      <c r="F4" s="283"/>
    </row>
    <row r="6" spans="1:9" ht="12.75" thickBot="1" x14ac:dyDescent="0.3"/>
    <row r="7" spans="1:9" ht="24" customHeight="1" thickBot="1" x14ac:dyDescent="0.3">
      <c r="A7" s="319"/>
      <c r="B7" s="320"/>
      <c r="C7" s="322" t="s">
        <v>202</v>
      </c>
      <c r="D7" s="323"/>
      <c r="E7" s="323"/>
      <c r="F7" s="323"/>
      <c r="G7" s="324"/>
      <c r="H7" s="325" t="s">
        <v>203</v>
      </c>
      <c r="I7" s="284"/>
    </row>
    <row r="8" spans="1:9" ht="30" customHeight="1" thickBot="1" x14ac:dyDescent="0.3">
      <c r="A8" s="321"/>
      <c r="B8" s="321"/>
      <c r="C8" s="327" t="s">
        <v>204</v>
      </c>
      <c r="D8" s="328"/>
      <c r="E8" s="329" t="s">
        <v>115</v>
      </c>
      <c r="F8" s="330"/>
      <c r="G8" s="118" t="s">
        <v>114</v>
      </c>
      <c r="H8" s="326"/>
      <c r="I8" s="284"/>
    </row>
    <row r="9" spans="1:9" ht="42.75" customHeight="1" x14ac:dyDescent="0.25">
      <c r="A9" s="331" t="s">
        <v>205</v>
      </c>
      <c r="B9" s="334">
        <v>5</v>
      </c>
      <c r="C9" s="306" t="s">
        <v>206</v>
      </c>
      <c r="D9" s="307"/>
      <c r="E9" s="337" t="s">
        <v>207</v>
      </c>
      <c r="F9" s="338"/>
      <c r="G9" s="119" t="s">
        <v>208</v>
      </c>
      <c r="H9" s="295" t="s">
        <v>209</v>
      </c>
      <c r="I9" s="285"/>
    </row>
    <row r="10" spans="1:9" ht="26.25" customHeight="1" x14ac:dyDescent="0.25">
      <c r="A10" s="332"/>
      <c r="B10" s="335"/>
      <c r="C10" s="306" t="s">
        <v>210</v>
      </c>
      <c r="D10" s="307"/>
      <c r="E10" s="306" t="s">
        <v>211</v>
      </c>
      <c r="F10" s="307"/>
      <c r="G10" s="119" t="s">
        <v>212</v>
      </c>
      <c r="H10" s="296"/>
      <c r="I10" s="285"/>
    </row>
    <row r="11" spans="1:9" ht="22.5" customHeight="1" x14ac:dyDescent="0.25">
      <c r="A11" s="332"/>
      <c r="B11" s="335"/>
      <c r="C11" s="306" t="s">
        <v>213</v>
      </c>
      <c r="D11" s="307"/>
      <c r="E11" s="306" t="s">
        <v>214</v>
      </c>
      <c r="F11" s="307"/>
      <c r="G11" s="82"/>
      <c r="H11" s="296"/>
      <c r="I11" s="285"/>
    </row>
    <row r="12" spans="1:9" ht="22.5" customHeight="1" thickBot="1" x14ac:dyDescent="0.3">
      <c r="A12" s="332"/>
      <c r="B12" s="336"/>
      <c r="C12" s="308"/>
      <c r="D12" s="309"/>
      <c r="E12" s="310" t="s">
        <v>215</v>
      </c>
      <c r="F12" s="311"/>
      <c r="G12" s="82"/>
      <c r="H12" s="312"/>
      <c r="I12" s="285"/>
    </row>
    <row r="13" spans="1:9" ht="33" customHeight="1" x14ac:dyDescent="0.25">
      <c r="A13" s="332"/>
      <c r="B13" s="316">
        <v>4</v>
      </c>
      <c r="C13" s="304" t="s">
        <v>216</v>
      </c>
      <c r="D13" s="305"/>
      <c r="E13" s="304" t="s">
        <v>217</v>
      </c>
      <c r="F13" s="305"/>
      <c r="G13" s="120" t="s">
        <v>218</v>
      </c>
      <c r="H13" s="295" t="s">
        <v>209</v>
      </c>
    </row>
    <row r="14" spans="1:9" ht="30.75" customHeight="1" x14ac:dyDescent="0.25">
      <c r="A14" s="332"/>
      <c r="B14" s="317"/>
      <c r="C14" s="306" t="s">
        <v>219</v>
      </c>
      <c r="D14" s="307"/>
      <c r="E14" s="306" t="s">
        <v>220</v>
      </c>
      <c r="F14" s="307"/>
      <c r="G14" s="119" t="s">
        <v>221</v>
      </c>
      <c r="H14" s="296"/>
    </row>
    <row r="15" spans="1:9" ht="36" customHeight="1" thickBot="1" x14ac:dyDescent="0.3">
      <c r="A15" s="332"/>
      <c r="B15" s="318"/>
      <c r="C15" s="310" t="s">
        <v>222</v>
      </c>
      <c r="D15" s="311"/>
      <c r="E15" s="310" t="s">
        <v>223</v>
      </c>
      <c r="F15" s="311"/>
      <c r="G15" s="82"/>
      <c r="H15" s="312"/>
    </row>
    <row r="16" spans="1:9" ht="46.5" customHeight="1" x14ac:dyDescent="0.25">
      <c r="A16" s="332"/>
      <c r="B16" s="313">
        <v>3</v>
      </c>
      <c r="C16" s="304" t="s">
        <v>224</v>
      </c>
      <c r="D16" s="305"/>
      <c r="E16" s="304" t="s">
        <v>225</v>
      </c>
      <c r="F16" s="305"/>
      <c r="G16" s="120" t="s">
        <v>226</v>
      </c>
      <c r="H16" s="295" t="s">
        <v>227</v>
      </c>
    </row>
    <row r="17" spans="1:8" ht="27" customHeight="1" x14ac:dyDescent="0.25">
      <c r="A17" s="332"/>
      <c r="B17" s="314"/>
      <c r="C17" s="306" t="s">
        <v>228</v>
      </c>
      <c r="D17" s="307"/>
      <c r="E17" s="306" t="s">
        <v>229</v>
      </c>
      <c r="F17" s="307"/>
      <c r="G17" s="119" t="s">
        <v>230</v>
      </c>
      <c r="H17" s="296"/>
    </row>
    <row r="18" spans="1:8" ht="56.25" customHeight="1" thickBot="1" x14ac:dyDescent="0.3">
      <c r="A18" s="332"/>
      <c r="B18" s="315"/>
      <c r="C18" s="310" t="s">
        <v>231</v>
      </c>
      <c r="D18" s="311"/>
      <c r="E18" s="310" t="s">
        <v>232</v>
      </c>
      <c r="F18" s="311"/>
      <c r="G18" s="82"/>
      <c r="H18" s="312"/>
    </row>
    <row r="19" spans="1:8" ht="45" customHeight="1" x14ac:dyDescent="0.25">
      <c r="A19" s="332"/>
      <c r="B19" s="301">
        <v>2</v>
      </c>
      <c r="C19" s="304" t="s">
        <v>233</v>
      </c>
      <c r="D19" s="305"/>
      <c r="E19" s="304" t="s">
        <v>234</v>
      </c>
      <c r="F19" s="305"/>
      <c r="G19" s="292" t="s">
        <v>235</v>
      </c>
      <c r="H19" s="295"/>
    </row>
    <row r="20" spans="1:8" ht="33.75" customHeight="1" x14ac:dyDescent="0.25">
      <c r="A20" s="332"/>
      <c r="B20" s="302"/>
      <c r="C20" s="306" t="s">
        <v>236</v>
      </c>
      <c r="D20" s="307"/>
      <c r="E20" s="306" t="s">
        <v>237</v>
      </c>
      <c r="F20" s="307"/>
      <c r="G20" s="293"/>
      <c r="H20" s="296"/>
    </row>
    <row r="21" spans="1:8" ht="22.5" customHeight="1" thickBot="1" x14ac:dyDescent="0.3">
      <c r="A21" s="332"/>
      <c r="B21" s="303"/>
      <c r="C21" s="308"/>
      <c r="D21" s="309"/>
      <c r="E21" s="310" t="s">
        <v>238</v>
      </c>
      <c r="F21" s="311"/>
      <c r="G21" s="294"/>
      <c r="H21" s="296"/>
    </row>
    <row r="22" spans="1:8" ht="57" customHeight="1" x14ac:dyDescent="0.25">
      <c r="A22" s="332"/>
      <c r="B22" s="297">
        <v>1</v>
      </c>
      <c r="C22" s="304" t="s">
        <v>239</v>
      </c>
      <c r="D22" s="305"/>
      <c r="E22" s="304" t="s">
        <v>240</v>
      </c>
      <c r="F22" s="305"/>
      <c r="G22" s="304" t="s">
        <v>241</v>
      </c>
      <c r="H22" s="299"/>
    </row>
    <row r="23" spans="1:8" ht="33.75" customHeight="1" thickBot="1" x14ac:dyDescent="0.3">
      <c r="A23" s="333"/>
      <c r="B23" s="298"/>
      <c r="C23" s="310" t="s">
        <v>242</v>
      </c>
      <c r="D23" s="311"/>
      <c r="E23" s="310" t="s">
        <v>243</v>
      </c>
      <c r="F23" s="311"/>
      <c r="G23" s="310"/>
      <c r="H23" s="300"/>
    </row>
    <row r="24" spans="1:8" ht="33.75" customHeight="1" thickBot="1" x14ac:dyDescent="0.3">
      <c r="A24" s="83"/>
      <c r="B24" s="84"/>
      <c r="C24" s="80"/>
      <c r="D24" s="80"/>
      <c r="E24" s="80"/>
      <c r="F24" s="80"/>
      <c r="G24" s="80"/>
      <c r="H24" s="85"/>
    </row>
    <row r="25" spans="1:8" ht="73.5" customHeight="1" x14ac:dyDescent="0.25">
      <c r="A25" s="290" t="s">
        <v>205</v>
      </c>
      <c r="B25" s="291"/>
      <c r="C25" s="291"/>
      <c r="D25" s="286" t="s">
        <v>244</v>
      </c>
      <c r="E25" s="286"/>
      <c r="F25" s="286"/>
      <c r="G25" s="86" t="s">
        <v>245</v>
      </c>
    </row>
    <row r="26" spans="1:8" ht="30.75" customHeight="1" x14ac:dyDescent="0.25">
      <c r="A26" s="288">
        <v>5</v>
      </c>
      <c r="B26" s="287"/>
      <c r="C26" s="287"/>
      <c r="D26" s="287" t="s">
        <v>246</v>
      </c>
      <c r="E26" s="287"/>
      <c r="F26" s="287"/>
      <c r="G26" s="87" t="s">
        <v>209</v>
      </c>
    </row>
    <row r="27" spans="1:8" ht="52.5" customHeight="1" x14ac:dyDescent="0.25">
      <c r="A27" s="288" t="s">
        <v>247</v>
      </c>
      <c r="B27" s="287"/>
      <c r="C27" s="287"/>
      <c r="D27" s="287" t="s">
        <v>248</v>
      </c>
      <c r="E27" s="287"/>
      <c r="F27" s="287"/>
      <c r="G27" s="87" t="s">
        <v>209</v>
      </c>
    </row>
    <row r="28" spans="1:8" ht="45" customHeight="1" thickBot="1" x14ac:dyDescent="0.3">
      <c r="A28" s="289" t="s">
        <v>249</v>
      </c>
      <c r="B28" s="280"/>
      <c r="C28" s="280"/>
      <c r="D28" s="280" t="s">
        <v>250</v>
      </c>
      <c r="E28" s="280"/>
      <c r="F28" s="280"/>
      <c r="G28" s="88" t="s">
        <v>251</v>
      </c>
    </row>
    <row r="29" spans="1:8" x14ac:dyDescent="0.25">
      <c r="A29" s="78"/>
      <c r="B29" s="76"/>
      <c r="C29" s="78"/>
      <c r="D29" s="78"/>
      <c r="E29" s="78"/>
      <c r="F29" s="78"/>
      <c r="G29" s="78"/>
      <c r="H29" s="78"/>
    </row>
    <row r="30" spans="1:8" x14ac:dyDescent="0.25">
      <c r="A30" s="79"/>
    </row>
  </sheetData>
  <mergeCells count="61">
    <mergeCell ref="H9:H12"/>
    <mergeCell ref="A7:B8"/>
    <mergeCell ref="C7:G7"/>
    <mergeCell ref="H7:H8"/>
    <mergeCell ref="C8:D8"/>
    <mergeCell ref="E8:F8"/>
    <mergeCell ref="A9:A23"/>
    <mergeCell ref="B9:B12"/>
    <mergeCell ref="C9:D9"/>
    <mergeCell ref="C10:D10"/>
    <mergeCell ref="C11:D11"/>
    <mergeCell ref="C12:D12"/>
    <mergeCell ref="E9:F9"/>
    <mergeCell ref="E10:F10"/>
    <mergeCell ref="E11:F11"/>
    <mergeCell ref="E12:F12"/>
    <mergeCell ref="H13:H15"/>
    <mergeCell ref="B16:B18"/>
    <mergeCell ref="C16:D16"/>
    <mergeCell ref="C17:D17"/>
    <mergeCell ref="C18:D18"/>
    <mergeCell ref="E16:F16"/>
    <mergeCell ref="E17:F17"/>
    <mergeCell ref="E18:F18"/>
    <mergeCell ref="H16:H18"/>
    <mergeCell ref="B13:B15"/>
    <mergeCell ref="C13:D13"/>
    <mergeCell ref="C14:D14"/>
    <mergeCell ref="C15:D15"/>
    <mergeCell ref="E13:F13"/>
    <mergeCell ref="E14:F14"/>
    <mergeCell ref="E15:F15"/>
    <mergeCell ref="H22:H23"/>
    <mergeCell ref="B19:B21"/>
    <mergeCell ref="C19:D19"/>
    <mergeCell ref="C20:D20"/>
    <mergeCell ref="C21:D21"/>
    <mergeCell ref="E19:F19"/>
    <mergeCell ref="E20:F20"/>
    <mergeCell ref="E21:F21"/>
    <mergeCell ref="C22:D22"/>
    <mergeCell ref="C23:D23"/>
    <mergeCell ref="E22:F22"/>
    <mergeCell ref="E23:F23"/>
    <mergeCell ref="G22:G23"/>
    <mergeCell ref="D28:F28"/>
    <mergeCell ref="A1:F1"/>
    <mergeCell ref="A2:E2"/>
    <mergeCell ref="A4:F4"/>
    <mergeCell ref="I7:I8"/>
    <mergeCell ref="I9:I12"/>
    <mergeCell ref="D25:F25"/>
    <mergeCell ref="D26:F26"/>
    <mergeCell ref="D27:F27"/>
    <mergeCell ref="A26:C26"/>
    <mergeCell ref="A27:C27"/>
    <mergeCell ref="A28:C28"/>
    <mergeCell ref="A25:C25"/>
    <mergeCell ref="G19:G21"/>
    <mergeCell ref="H19:H21"/>
    <mergeCell ref="B22:B2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3318F9981FD84C806FFB87910955AC" ma:contentTypeVersion="13" ma:contentTypeDescription="Create a new document." ma:contentTypeScope="" ma:versionID="7718055859a13e69638627fdfec82caf">
  <xsd:schema xmlns:xsd="http://www.w3.org/2001/XMLSchema" xmlns:xs="http://www.w3.org/2001/XMLSchema" xmlns:p="http://schemas.microsoft.com/office/2006/metadata/properties" xmlns:ns2="23fc1744-6678-4143-bec2-24e7e3203d97" xmlns:ns3="94e02717-c224-4939-b3b4-4f3becd7670a" targetNamespace="http://schemas.microsoft.com/office/2006/metadata/properties" ma:root="true" ma:fieldsID="0cd7f5f6a17b2884f3a7d3f89daead58" ns2:_="" ns3:_="">
    <xsd:import namespace="23fc1744-6678-4143-bec2-24e7e3203d97"/>
    <xsd:import namespace="94e02717-c224-4939-b3b4-4f3becd767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fc1744-6678-4143-bec2-24e7e3203d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57a5ef2-ccd9-450d-814a-721f2f82285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e02717-c224-4939-b3b4-4f3becd7670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1617db59-c94c-41d6-b268-3bd8a493cb18}" ma:internalName="TaxCatchAll" ma:showField="CatchAllData" ma:web="94e02717-c224-4939-b3b4-4f3becd767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e02717-c224-4939-b3b4-4f3becd7670a" xsi:nil="true"/>
    <lcf76f155ced4ddcb4097134ff3c332f xmlns="23fc1744-6678-4143-bec2-24e7e3203d9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56CE6E-9747-4A03-9E85-F367CCF55F2D}">
  <ds:schemaRefs>
    <ds:schemaRef ds:uri="http://schemas.microsoft.com/sharepoint/v3/contenttype/forms"/>
  </ds:schemaRefs>
</ds:datastoreItem>
</file>

<file path=customXml/itemProps2.xml><?xml version="1.0" encoding="utf-8"?>
<ds:datastoreItem xmlns:ds="http://schemas.openxmlformats.org/officeDocument/2006/customXml" ds:itemID="{1B8B09C7-FDD2-431C-B9F7-C9ED52DD73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fc1744-6678-4143-bec2-24e7e3203d97"/>
    <ds:schemaRef ds:uri="94e02717-c224-4939-b3b4-4f3becd767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54CE41-87BA-4608-8AE8-42C3FEAA5EE6}">
  <ds:schemaRefs>
    <ds:schemaRef ds:uri="94e02717-c224-4939-b3b4-4f3becd7670a"/>
    <ds:schemaRef ds:uri="http://purl.org/dc/elements/1.1/"/>
    <ds:schemaRef ds:uri="23fc1744-6678-4143-bec2-24e7e3203d97"/>
    <ds:schemaRef ds:uri="http://schemas.microsoft.com/office/2006/metadata/properties"/>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42fd3960-3383-4fb0-8b80-ca0c577e6cb4}" enabled="1" method="Standard" siteId="{97525e9a-595d-472c-8248-0dc58f852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Scope</vt:lpstr>
      <vt:lpstr>Risk Register (Generic)</vt:lpstr>
      <vt:lpstr>Cover</vt:lpstr>
      <vt:lpstr>Revisions</vt:lpstr>
      <vt:lpstr>AI Risk Subcats</vt:lpstr>
      <vt:lpstr>Risk Register</vt:lpstr>
      <vt:lpstr>RAM for Threats</vt:lpstr>
      <vt:lpstr>RAM for Opportunities</vt:lpstr>
      <vt:lpstr>Communication Matrix</vt:lpstr>
      <vt:lpstr>Revisions!_Toc442428453</vt:lpstr>
      <vt:lpstr>Revisions!_Toc442428454</vt:lpstr>
      <vt:lpstr>Revisions!_Toc442428455</vt:lpstr>
      <vt:lpstr>lstAIRiskSubcats</vt:lpstr>
      <vt:lpstr>lstAISubcats</vt:lpstr>
      <vt:lpstr>'RAM for Opportunities'!Print_Area</vt:lpstr>
      <vt:lpstr>'RAM for Threats'!Print_Area</vt:lpstr>
      <vt:lpstr>'Risk Register'!Print_Area</vt:lpstr>
      <vt:lpstr>'Risk Register (Generic)'!Print_Area</vt:lpstr>
      <vt:lpstr>'Risk Register'!Print_Titles</vt:lpstr>
      <vt:lpstr>'Risk Register (Generic)'!Print_Titles</vt:lpstr>
    </vt:vector>
  </TitlesOfParts>
  <Manager/>
  <Company>OI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Register and RAM</dc:title>
  <dc:subject/>
  <dc:creator>Clint Coker</dc:creator>
  <cp:keywords/>
  <dc:description/>
  <cp:lastModifiedBy>Raphael Costa</cp:lastModifiedBy>
  <cp:revision/>
  <dcterms:created xsi:type="dcterms:W3CDTF">2018-11-05T14:22:05Z</dcterms:created>
  <dcterms:modified xsi:type="dcterms:W3CDTF">2026-08-06T18:34:41Z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0x010100403318F9981FD84C806FFB87910955AC</vt:lpwstr>
  </property>
  <property fmtid="{D5CDD505-2E9C-101B-9397-08002B2CF9AE}" pid="3" name="_dlc_DocIdItemGuid">
    <vt:lpwstr>181e6baa-38d2-435f-9b62-08bb0382f3dd</vt:lpwstr>
  </property>
  <property fmtid="{D5CDD505-2E9C-101B-9397-08002B2CF9AE}" pid="4" name="Region">
    <vt:lpwstr>281;#Africa|44a961f6-d453-4743-8713-d840faf0867f;#340;#Americas|55880d6f-aad3-4576-ba45-007c0a893111;#306;#Asia-Pacific|e828756f-7ddb-4d90-8033-47132bf8c885;#202;#Europe-MiddleEast|b11f06f6-d68e-4633-93b6-e3b0c851a5a8</vt:lpwstr>
  </property>
  <property fmtid="{D5CDD505-2E9C-101B-9397-08002B2CF9AE}" pid="5" name="Document Category">
    <vt:lpwstr>123;#Forms|6c8037e0-7ed0-476b-b5ba-a4d5756295cd</vt:lpwstr>
  </property>
  <property fmtid="{D5CDD505-2E9C-101B-9397-08002B2CF9AE}" pid="6" name="ServiceLine">
    <vt:lpwstr/>
  </property>
  <property fmtid="{D5CDD505-2E9C-101B-9397-08002B2CF9AE}" pid="7" name="Content Function12">
    <vt:lpwstr>125;#Form|b0c895f8-8618-475c-9dd0-ace7d9236c15</vt:lpwstr>
  </property>
  <property fmtid="{D5CDD505-2E9C-101B-9397-08002B2CF9AE}" pid="8" name="Function">
    <vt:lpwstr>201;#Quality|2da59ab8-a9ce-4242-a562-1a677f671316</vt:lpwstr>
  </property>
  <property fmtid="{D5CDD505-2E9C-101B-9397-08002B2CF9AE}" pid="9" name="MS Operation">
    <vt:lpwstr/>
  </property>
  <property fmtid="{D5CDD505-2E9C-101B-9397-08002B2CF9AE}" pid="10" name="Country">
    <vt:lpwstr/>
  </property>
  <property fmtid="{D5CDD505-2E9C-101B-9397-08002B2CF9AE}" pid="11" name="Site1">
    <vt:lpwstr/>
  </property>
  <property fmtid="{D5CDD505-2E9C-101B-9397-08002B2CF9AE}" pid="12" name="Department12">
    <vt:lpwstr>227;#Quality Assurance|a65f8187-95b0-442b-a964-e8c1ab39abd0</vt:lpwstr>
  </property>
  <property fmtid="{D5CDD505-2E9C-101B-9397-08002B2CF9AE}" pid="13" name="Business Group">
    <vt:lpwstr/>
  </property>
  <property fmtid="{D5CDD505-2E9C-101B-9397-08002B2CF9AE}" pid="14" name="Segment">
    <vt:lpwstr>224;#INTEGRITY MANAGEMENT AND DIGITAL SOLUTIONS|5ad16b90-60db-4f9d-87ed-f3647c803974;#235;#MANUFACTURED PRODUCTS|1827164d-7833-41cf-bbcc-b86a2a134768;#225;#OFFSHORE PROJECTS GROUP|50725aac-c904-48a4-8dda-c9a7f83dbbc4;#198;#SUBSEA ROBOTICS|a2870513-c8e1-4cbc-a9d0-c3cd7e1c7a92</vt:lpwstr>
  </property>
  <property fmtid="{D5CDD505-2E9C-101B-9397-08002B2CF9AE}" pid="15" name="Content_x0020_Function12">
    <vt:lpwstr>125;#Form|b0c895f8-8618-475c-9dd0-ace7d9236c15</vt:lpwstr>
  </property>
  <property fmtid="{D5CDD505-2E9C-101B-9397-08002B2CF9AE}" pid="16" name="Business_x0020_Group">
    <vt:lpwstr/>
  </property>
  <property fmtid="{D5CDD505-2E9C-101B-9397-08002B2CF9AE}" pid="17" name="Document_x0020_Category">
    <vt:lpwstr>123;#Forms|6c8037e0-7ed0-476b-b5ba-a4d5756295cd</vt:lpwstr>
  </property>
  <property fmtid="{D5CDD505-2E9C-101B-9397-08002B2CF9AE}" pid="18" name="MS_x0020_Operation">
    <vt:lpwstr/>
  </property>
  <property fmtid="{D5CDD505-2E9C-101B-9397-08002B2CF9AE}" pid="19" name="Order">
    <vt:r8>37100</vt:r8>
  </property>
  <property fmtid="{D5CDD505-2E9C-101B-9397-08002B2CF9AE}" pid="20" name="xd_ProgID">
    <vt:lpwstr/>
  </property>
  <property fmtid="{D5CDD505-2E9C-101B-9397-08002B2CF9AE}" pid="21" name="obf84b929d544bb4972795e532c12437">
    <vt:lpwstr>Africa|44a961f6-d453-4743-8713-d840faf0867f;Americas|55880d6f-aad3-4576-ba45-007c0a893111;Asia-Pacific|e828756f-7ddb-4d90-8033-47132bf8c885;Europe-MiddleEast|b11f06f6-d68e-4633-93b6-e3b0c851a5a8</vt:lpwstr>
  </property>
  <property fmtid="{D5CDD505-2E9C-101B-9397-08002B2CF9AE}" pid="22" name="Document Level">
    <vt:lpwstr>4</vt:lpwstr>
  </property>
  <property fmtid="{D5CDD505-2E9C-101B-9397-08002B2CF9AE}" pid="23" name="n86054f626894f26a2dd5740ff69bc98">
    <vt:lpwstr>Forms|6c8037e0-7ed0-476b-b5ba-a4d5756295cd</vt:lpwstr>
  </property>
  <property fmtid="{D5CDD505-2E9C-101B-9397-08002B2CF9AE}" pid="24" name="b74c25cfed3f407989d3bf504d420312">
    <vt:lpwstr>Quality|2da59ab8-a9ce-4242-a562-1a677f671316</vt:lpwstr>
  </property>
  <property fmtid="{D5CDD505-2E9C-101B-9397-08002B2CF9AE}" pid="25" name="Document Title">
    <vt:lpwstr>Risk Register and RAM</vt:lpwstr>
  </property>
  <property fmtid="{D5CDD505-2E9C-101B-9397-08002B2CF9AE}" pid="26" name="ComplianceAssetId">
    <vt:lpwstr/>
  </property>
  <property fmtid="{D5CDD505-2E9C-101B-9397-08002B2CF9AE}" pid="27" name="TemplateUrl">
    <vt:lpwstr/>
  </property>
  <property fmtid="{D5CDD505-2E9C-101B-9397-08002B2CF9AE}" pid="28" name="Original Approver">
    <vt:lpwstr>Julie Sitzmann</vt:lpwstr>
  </property>
  <property fmtid="{D5CDD505-2E9C-101B-9397-08002B2CF9AE}" pid="29" name="Owner">
    <vt:lpwstr>Julie Sitzmann</vt:lpwstr>
  </property>
  <property fmtid="{D5CDD505-2E9C-101B-9397-08002B2CF9AE}" pid="30" name="_ExtendedDescription">
    <vt:lpwstr/>
  </property>
  <property fmtid="{D5CDD505-2E9C-101B-9397-08002B2CF9AE}" pid="31" name="TriggerFlowInfo">
    <vt:lpwstr/>
  </property>
  <property fmtid="{D5CDD505-2E9C-101B-9397-08002B2CF9AE}" pid="32" name="ab4c28d55f9147a2844d8f5cae9d6415">
    <vt:lpwstr>Quality Assurance|a65f8187-95b0-442b-a964-e8c1ab39abd0</vt:lpwstr>
  </property>
  <property fmtid="{D5CDD505-2E9C-101B-9397-08002B2CF9AE}" pid="33" name="Previous Number (QLM)">
    <vt:lpwstr>DOC-TEM-18-NUM</vt:lpwstr>
  </property>
  <property fmtid="{D5CDD505-2E9C-101B-9397-08002B2CF9AE}" pid="34" name="j6359193c1a94ff8b34fafc9f7b1ae48">
    <vt:lpwstr>Form|b0c895f8-8618-475c-9dd0-ace7d9236c15</vt:lpwstr>
  </property>
  <property fmtid="{D5CDD505-2E9C-101B-9397-08002B2CF9AE}" pid="35" name="xd_Signature">
    <vt:bool>false</vt:bool>
  </property>
  <property fmtid="{D5CDD505-2E9C-101B-9397-08002B2CF9AE}" pid="36" name="ed36bfebe6f548688f55326280b1e3d4">
    <vt:lpwstr>INTEGRITY MANAGEMENT AND DIGITAL SOLUTIONS|5ad16b90-60db-4f9d-87ed-f3647c803974;MANUFACTURED PRODUCTS|1827164d-7833-41cf-bbcc-b86a2a134768;OFFSHORE PROJECTS GROUP|50725aac-c904-48a4-8dda-c9a7f83dbbc4;SUBSEA ROBOTICS|a2870513-c8e1-4cbc-a9d0-c3cd7e1c7a92</vt:lpwstr>
  </property>
  <property fmtid="{D5CDD505-2E9C-101B-9397-08002B2CF9AE}" pid="37" name="SharedWithUsers">
    <vt:lpwstr>43;#DeQuentin Youngblood;#745;#Ben Sutcliffe;#19;#Nitasha Rani;#32;#SharingLinks.ccd40328-04ca-465c-9abe-10a4fe010775.OrganizationEdit.9b1f6ba7-243a-437e-bc61-5ea65f6857fc;#30;#SharingLinks.28f34907-2364-498e-9bde-413c30bb07a6.Flexible.c68b0a3d-5424-4342-9218-4f88f9bd24ed;#7045;#Nilton Geraldo;#8319;#Anabela Dias;#10139;#Malanda Maria;#240;#Sofia Barros;#5815;#Luis Miranda;#10140;#Wizana Pedro;#5814;#Jesualda Gomes;#10138;#Luis Da Rocha;#8613;#Tailor Manuel;#4047;#Joel Santana;#26;#Mark Davies;#1196;#Antonio Segunda;#10141;#Enide Sebastiao;#10144;#Catarina De Faria;#11253;#Agostinho Kahinda;#11254;#Silvana Shindany</vt:lpwstr>
  </property>
  <property fmtid="{D5CDD505-2E9C-101B-9397-08002B2CF9AE}" pid="38" name="QualitySupplier">
    <vt:lpwstr/>
  </property>
  <property fmtid="{D5CDD505-2E9C-101B-9397-08002B2CF9AE}" pid="39" name="QualityCustomer">
    <vt:lpwstr/>
  </property>
  <property fmtid="{D5CDD505-2E9C-101B-9397-08002B2CF9AE}" pid="40" name="ECMBusinessOrganization">
    <vt:lpwstr>152;#Quality|0f113247-e261-4ffa-95e9-11fd72f2f5e5</vt:lpwstr>
  </property>
  <property fmtid="{D5CDD505-2E9C-101B-9397-08002B2CF9AE}" pid="41" name="QualitySubject">
    <vt:lpwstr/>
  </property>
  <property fmtid="{D5CDD505-2E9C-101B-9397-08002B2CF9AE}" pid="42" name="ECMRegion">
    <vt:lpwstr>165;#Global|f7577152-440c-44d4-8f0b-04a30ce178f4</vt:lpwstr>
  </property>
  <property fmtid="{D5CDD505-2E9C-101B-9397-08002B2CF9AE}" pid="43" name="QualityYear">
    <vt:lpwstr/>
  </property>
  <property fmtid="{D5CDD505-2E9C-101B-9397-08002B2CF9AE}" pid="44" name="ECMBusinessPurpose">
    <vt:lpwstr>160;#Business Management|1014efb9-25ae-4d94-8e98-ce5dbeb2ad4f</vt:lpwstr>
  </property>
  <property fmtid="{D5CDD505-2E9C-101B-9397-08002B2CF9AE}" pid="45" name="ECMSecurity">
    <vt:lpwstr>163;#Internal|17b344be-5969-4213-a553-8c6cd504a6e9</vt:lpwstr>
  </property>
  <property fmtid="{D5CDD505-2E9C-101B-9397-08002B2CF9AE}" pid="46" name="QualityLocation">
    <vt:lpwstr/>
  </property>
  <property fmtid="{D5CDD505-2E9C-101B-9397-08002B2CF9AE}" pid="47" name="ECMLifeCycle">
    <vt:lpwstr>162;#Published|d28ecf90-4841-47a3-a248-312798ae1ae6</vt:lpwstr>
  </property>
  <property fmtid="{D5CDD505-2E9C-101B-9397-08002B2CF9AE}" pid="48" name="ECMContentOwner">
    <vt:lpwstr>161;#Quality|657f2f8b-ed12-4cbe-b5c4-81fd6e974192</vt:lpwstr>
  </property>
  <property fmtid="{D5CDD505-2E9C-101B-9397-08002B2CF9AE}" pid="49" name="Recoord_x0020_Code">
    <vt:lpwstr/>
  </property>
  <property fmtid="{D5CDD505-2E9C-101B-9397-08002B2CF9AE}" pid="50" name="aacca8e0b6e845a881b0e00e2e03496e">
    <vt:lpwstr/>
  </property>
  <property fmtid="{D5CDD505-2E9C-101B-9397-08002B2CF9AE}" pid="51" name="Doc ID">
    <vt:lpwstr>DOC-TEM-18-NUM</vt:lpwstr>
  </property>
  <property fmtid="{D5CDD505-2E9C-101B-9397-08002B2CF9AE}" pid="52" name="ECMReviewers">
    <vt:lpwstr/>
  </property>
  <property fmtid="{D5CDD505-2E9C-101B-9397-08002B2CF9AE}" pid="53" name="Service_x002F_Product_x0020_Line">
    <vt:lpwstr/>
  </property>
  <property fmtid="{D5CDD505-2E9C-101B-9397-08002B2CF9AE}" pid="54" name="ce8244dec79848ecb6813c2d2dcb5ad2">
    <vt:lpwstr/>
  </property>
  <property fmtid="{D5CDD505-2E9C-101B-9397-08002B2CF9AE}" pid="55" name="FinalQualityCheck">
    <vt:lpwstr/>
  </property>
  <property fmtid="{D5CDD505-2E9C-101B-9397-08002B2CF9AE}" pid="56" name="_Revision">
    <vt:lpwstr>C</vt:lpwstr>
  </property>
  <property fmtid="{D5CDD505-2E9C-101B-9397-08002B2CF9AE}" pid="57" name="ECMApprovers">
    <vt:lpwstr/>
  </property>
  <property fmtid="{D5CDD505-2E9C-101B-9397-08002B2CF9AE}" pid="58" name="ReadyForPublicationWorkflow">
    <vt:bool>false</vt:bool>
  </property>
  <property fmtid="{D5CDD505-2E9C-101B-9397-08002B2CF9AE}" pid="59" name="ECMOwnedBy">
    <vt:lpwstr/>
  </property>
  <property fmtid="{D5CDD505-2E9C-101B-9397-08002B2CF9AE}" pid="60" name="ScopeOfWork">
    <vt:lpwstr/>
  </property>
  <property fmtid="{D5CDD505-2E9C-101B-9397-08002B2CF9AE}" pid="61" name="Service/Product Line">
    <vt:lpwstr/>
  </property>
  <property fmtid="{D5CDD505-2E9C-101B-9397-08002B2CF9AE}" pid="62" name="Recoord Code">
    <vt:lpwstr/>
  </property>
  <property fmtid="{D5CDD505-2E9C-101B-9397-08002B2CF9AE}" pid="63" name="b96ab32d539b4f15a4d5b33f26385c89">
    <vt:lpwstr/>
  </property>
  <property fmtid="{D5CDD505-2E9C-101B-9397-08002B2CF9AE}" pid="64" name="k5dcdb599cd14a7da01bbd563e111c94">
    <vt:lpwstr/>
  </property>
  <property fmtid="{D5CDD505-2E9C-101B-9397-08002B2CF9AE}" pid="65" name="n54961fa368c42219eeb1c0df8ed9bbe">
    <vt:lpwstr/>
  </property>
  <property fmtid="{D5CDD505-2E9C-101B-9397-08002B2CF9AE}" pid="66" name="af14a6fb236646159ab8bb85785830a4">
    <vt:lpwstr/>
  </property>
  <property fmtid="{D5CDD505-2E9C-101B-9397-08002B2CF9AE}" pid="67" name="k817efc9c62d4ac3b834d4e153e86b25">
    <vt:lpwstr/>
  </property>
  <property fmtid="{D5CDD505-2E9C-101B-9397-08002B2CF9AE}" pid="68" name="lcf76f155ced4ddcb4097134ff3c332f">
    <vt:lpwstr/>
  </property>
  <property fmtid="{D5CDD505-2E9C-101B-9397-08002B2CF9AE}" pid="69" name="MediaServiceImageTags">
    <vt:lpwstr/>
  </property>
</Properties>
</file>